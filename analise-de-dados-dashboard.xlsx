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IGI\Downloads\"/>
    </mc:Choice>
  </mc:AlternateContent>
  <xr:revisionPtr revIDLastSave="0" documentId="13_ncr:1_{B2FCA27A-06F6-4C09-A5B8-72AA78D038C3}" xr6:coauthVersionLast="47" xr6:coauthVersionMax="47" xr10:uidLastSave="{00000000-0000-0000-0000-000000000000}"/>
  <bookViews>
    <workbookView xWindow="9705" yWindow="0" windowWidth="19080" windowHeight="15300" tabRatio="500" xr2:uid="{00000000-000D-0000-FFFF-FFFF00000000}"/>
  </bookViews>
  <sheets>
    <sheet name="Dashboard" sheetId="1" r:id="rId1"/>
    <sheet name="Pedidos" sheetId="2" r:id="rId2"/>
    <sheet name="Despesas" sheetId="3" r:id="rId3"/>
    <sheet name="Lucro" sheetId="4" r:id="rId4"/>
    <sheet name="Estoque" sheetId="5" r:id="rId5"/>
    <sheet name="Pedidos_DB" sheetId="6" r:id="rId6"/>
    <sheet name="Despesas_DB" sheetId="7" r:id="rId7"/>
    <sheet name="Dados_Graficos" sheetId="8" r:id="rId8"/>
  </sheets>
  <definedNames>
    <definedName name="_xlnm.Print_Area" localSheetId="0">Dashboard!$C$1:$O$64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4" i="8" l="1"/>
  <c r="F83" i="8"/>
  <c r="K82" i="8"/>
  <c r="F82" i="8"/>
  <c r="K81" i="8"/>
  <c r="F81" i="8"/>
  <c r="K80" i="8"/>
  <c r="F80" i="8"/>
  <c r="N75" i="8"/>
  <c r="I75" i="8"/>
  <c r="G75" i="8"/>
  <c r="N74" i="8"/>
  <c r="I74" i="8"/>
  <c r="G74" i="8"/>
  <c r="N73" i="8"/>
  <c r="I73" i="8"/>
  <c r="G73" i="8"/>
  <c r="N72" i="8"/>
  <c r="I72" i="8"/>
  <c r="G72" i="8"/>
  <c r="N71" i="8"/>
  <c r="I71" i="8"/>
  <c r="G71" i="8"/>
  <c r="N70" i="8"/>
  <c r="I70" i="8"/>
  <c r="G70" i="8"/>
  <c r="N69" i="8"/>
  <c r="I69" i="8"/>
  <c r="G69" i="8"/>
  <c r="N68" i="8"/>
  <c r="I68" i="8"/>
  <c r="G68" i="8"/>
  <c r="N67" i="8"/>
  <c r="I67" i="8"/>
  <c r="G67" i="8"/>
  <c r="E60" i="8"/>
  <c r="D60" i="8"/>
  <c r="E59" i="8"/>
  <c r="D59" i="8"/>
  <c r="E58" i="8"/>
  <c r="D58" i="8"/>
  <c r="E57" i="8"/>
  <c r="D57" i="8"/>
  <c r="E56" i="8"/>
  <c r="D56" i="8"/>
  <c r="E55" i="8"/>
  <c r="D55" i="8"/>
  <c r="E54" i="8"/>
  <c r="D54" i="8"/>
  <c r="E53" i="8"/>
  <c r="D53" i="8"/>
  <c r="E52" i="8"/>
  <c r="D52" i="8"/>
  <c r="E51" i="8"/>
  <c r="D51" i="8"/>
  <c r="E50" i="8"/>
  <c r="D50" i="8"/>
  <c r="E49" i="8"/>
  <c r="D49" i="8"/>
  <c r="E48" i="8"/>
  <c r="D48" i="8"/>
  <c r="E47" i="8"/>
  <c r="D47" i="8"/>
  <c r="E46" i="8"/>
  <c r="D46" i="8"/>
  <c r="E45" i="8"/>
  <c r="D45" i="8"/>
  <c r="E44" i="8"/>
  <c r="D44" i="8"/>
  <c r="E43" i="8"/>
  <c r="D43" i="8"/>
  <c r="E42" i="8"/>
  <c r="D42" i="8"/>
  <c r="E41" i="8"/>
  <c r="D41" i="8"/>
  <c r="E40" i="8"/>
  <c r="D40" i="8"/>
  <c r="E39" i="8"/>
  <c r="D39" i="8"/>
  <c r="E38" i="8"/>
  <c r="D38" i="8"/>
  <c r="E37" i="8"/>
  <c r="D37" i="8"/>
  <c r="E36" i="8"/>
  <c r="D36" i="8"/>
  <c r="E35" i="8"/>
  <c r="D35" i="8"/>
  <c r="E34" i="8"/>
  <c r="D34" i="8"/>
  <c r="E33" i="8"/>
  <c r="D33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26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B7" i="8"/>
  <c r="E6" i="8"/>
  <c r="D6" i="8"/>
  <c r="B6" i="8"/>
  <c r="E5" i="8"/>
  <c r="D5" i="8"/>
  <c r="B5" i="8"/>
  <c r="E4" i="8"/>
  <c r="D4" i="8"/>
  <c r="B4" i="8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L15" i="5"/>
  <c r="K15" i="5"/>
  <c r="L14" i="5"/>
  <c r="K14" i="5"/>
  <c r="L13" i="5"/>
  <c r="K13" i="5"/>
  <c r="L12" i="5"/>
  <c r="K12" i="5"/>
  <c r="L11" i="5"/>
  <c r="K11" i="5"/>
  <c r="L10" i="5"/>
  <c r="K10" i="5"/>
  <c r="L9" i="5"/>
  <c r="K9" i="5"/>
  <c r="H65" i="5"/>
  <c r="G65" i="5"/>
  <c r="H64" i="5"/>
  <c r="G64" i="5"/>
  <c r="H63" i="5"/>
  <c r="G63" i="5"/>
  <c r="H62" i="5"/>
  <c r="G62" i="5"/>
  <c r="H61" i="5"/>
  <c r="G61" i="5"/>
  <c r="H60" i="5"/>
  <c r="G60" i="5"/>
  <c r="H59" i="5"/>
  <c r="G59" i="5"/>
  <c r="H58" i="5"/>
  <c r="G58" i="5"/>
  <c r="H57" i="5"/>
  <c r="G57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K4" i="5"/>
  <c r="B4" i="5"/>
  <c r="E34" i="4"/>
  <c r="D34" i="4"/>
  <c r="F34" i="4" s="1"/>
  <c r="G34" i="4" s="1"/>
  <c r="C34" i="4"/>
  <c r="E33" i="4"/>
  <c r="D33" i="4"/>
  <c r="F33" i="4" s="1"/>
  <c r="G33" i="4" s="1"/>
  <c r="C33" i="4"/>
  <c r="E32" i="4"/>
  <c r="D32" i="4"/>
  <c r="F32" i="4" s="1"/>
  <c r="G32" i="4" s="1"/>
  <c r="C32" i="4"/>
  <c r="G31" i="4"/>
  <c r="F31" i="4"/>
  <c r="E31" i="4"/>
  <c r="D31" i="4"/>
  <c r="C31" i="4"/>
  <c r="E30" i="4"/>
  <c r="D30" i="4"/>
  <c r="F30" i="4" s="1"/>
  <c r="G30" i="4" s="1"/>
  <c r="C30" i="4"/>
  <c r="E29" i="4"/>
  <c r="D29" i="4"/>
  <c r="F29" i="4" s="1"/>
  <c r="G29" i="4" s="1"/>
  <c r="C29" i="4"/>
  <c r="E28" i="4"/>
  <c r="F28" i="4" s="1"/>
  <c r="G28" i="4" s="1"/>
  <c r="D28" i="4"/>
  <c r="C28" i="4"/>
  <c r="E27" i="4"/>
  <c r="D27" i="4"/>
  <c r="F27" i="4" s="1"/>
  <c r="G27" i="4" s="1"/>
  <c r="C27" i="4"/>
  <c r="E26" i="4"/>
  <c r="D26" i="4"/>
  <c r="F26" i="4" s="1"/>
  <c r="G26" i="4" s="1"/>
  <c r="C26" i="4"/>
  <c r="E25" i="4"/>
  <c r="D25" i="4"/>
  <c r="F25" i="4" s="1"/>
  <c r="G25" i="4" s="1"/>
  <c r="C25" i="4"/>
  <c r="F24" i="4"/>
  <c r="G24" i="4" s="1"/>
  <c r="E24" i="4"/>
  <c r="D24" i="4"/>
  <c r="C24" i="4"/>
  <c r="F23" i="4"/>
  <c r="G23" i="4" s="1"/>
  <c r="E23" i="4"/>
  <c r="D23" i="4"/>
  <c r="C23" i="4"/>
  <c r="E22" i="4"/>
  <c r="D22" i="4"/>
  <c r="F22" i="4" s="1"/>
  <c r="G22" i="4" s="1"/>
  <c r="C22" i="4"/>
  <c r="E21" i="4"/>
  <c r="D21" i="4"/>
  <c r="F21" i="4" s="1"/>
  <c r="G21" i="4" s="1"/>
  <c r="C21" i="4"/>
  <c r="E20" i="4"/>
  <c r="D20" i="4"/>
  <c r="F20" i="4" s="1"/>
  <c r="G20" i="4" s="1"/>
  <c r="C20" i="4"/>
  <c r="G19" i="4"/>
  <c r="F19" i="4"/>
  <c r="E19" i="4"/>
  <c r="D19" i="4"/>
  <c r="C19" i="4"/>
  <c r="E18" i="4"/>
  <c r="D18" i="4"/>
  <c r="F18" i="4" s="1"/>
  <c r="G18" i="4" s="1"/>
  <c r="C18" i="4"/>
  <c r="E17" i="4"/>
  <c r="F17" i="4" s="1"/>
  <c r="G17" i="4" s="1"/>
  <c r="D17" i="4"/>
  <c r="C17" i="4"/>
  <c r="E16" i="4"/>
  <c r="F16" i="4" s="1"/>
  <c r="G16" i="4" s="1"/>
  <c r="D16" i="4"/>
  <c r="C16" i="4"/>
  <c r="E15" i="4"/>
  <c r="D15" i="4"/>
  <c r="F15" i="4" s="1"/>
  <c r="G15" i="4" s="1"/>
  <c r="C15" i="4"/>
  <c r="E14" i="4"/>
  <c r="D14" i="4"/>
  <c r="F14" i="4" s="1"/>
  <c r="G14" i="4" s="1"/>
  <c r="C14" i="4"/>
  <c r="E13" i="4"/>
  <c r="D13" i="4"/>
  <c r="F13" i="4" s="1"/>
  <c r="G13" i="4" s="1"/>
  <c r="C13" i="4"/>
  <c r="F12" i="4"/>
  <c r="G12" i="4" s="1"/>
  <c r="E12" i="4"/>
  <c r="D12" i="4"/>
  <c r="C12" i="4"/>
  <c r="F11" i="4"/>
  <c r="G11" i="4" s="1"/>
  <c r="E11" i="4"/>
  <c r="D11" i="4"/>
  <c r="C11" i="4"/>
  <c r="E10" i="4"/>
  <c r="D10" i="4"/>
  <c r="F10" i="4" s="1"/>
  <c r="G10" i="4" s="1"/>
  <c r="C10" i="4"/>
  <c r="C5" i="4"/>
  <c r="E5" i="4" s="1"/>
  <c r="B5" i="4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J16" i="3"/>
  <c r="K16" i="3" s="1"/>
  <c r="G16" i="3"/>
  <c r="F16" i="3"/>
  <c r="E16" i="3"/>
  <c r="D16" i="3"/>
  <c r="C16" i="3"/>
  <c r="B16" i="3"/>
  <c r="J15" i="3"/>
  <c r="K15" i="3" s="1"/>
  <c r="G15" i="3"/>
  <c r="F15" i="3"/>
  <c r="E15" i="3"/>
  <c r="D15" i="3"/>
  <c r="C15" i="3"/>
  <c r="B15" i="3"/>
  <c r="J14" i="3"/>
  <c r="K14" i="3" s="1"/>
  <c r="G14" i="3"/>
  <c r="F14" i="3"/>
  <c r="E14" i="3"/>
  <c r="D14" i="3"/>
  <c r="C14" i="3"/>
  <c r="B14" i="3"/>
  <c r="J13" i="3"/>
  <c r="K13" i="3" s="1"/>
  <c r="G13" i="3"/>
  <c r="F13" i="3"/>
  <c r="E13" i="3"/>
  <c r="D13" i="3"/>
  <c r="C13" i="3"/>
  <c r="B13" i="3"/>
  <c r="J12" i="3"/>
  <c r="K12" i="3" s="1"/>
  <c r="G12" i="3"/>
  <c r="F12" i="3"/>
  <c r="E12" i="3"/>
  <c r="D12" i="3"/>
  <c r="C12" i="3"/>
  <c r="B12" i="3"/>
  <c r="J11" i="3"/>
  <c r="K11" i="3" s="1"/>
  <c r="G11" i="3"/>
  <c r="F11" i="3"/>
  <c r="E11" i="3"/>
  <c r="D11" i="3"/>
  <c r="C11" i="3"/>
  <c r="B11" i="3"/>
  <c r="J10" i="3"/>
  <c r="K10" i="3" s="1"/>
  <c r="G10" i="3"/>
  <c r="F10" i="3"/>
  <c r="E10" i="3"/>
  <c r="D10" i="3"/>
  <c r="C10" i="3"/>
  <c r="B10" i="3"/>
  <c r="H5" i="3"/>
  <c r="E5" i="3"/>
  <c r="B5" i="3"/>
  <c r="J5" i="3" s="1"/>
  <c r="H34" i="2"/>
  <c r="G34" i="2"/>
  <c r="F34" i="2"/>
  <c r="E34" i="2"/>
  <c r="D34" i="2"/>
  <c r="C34" i="2"/>
  <c r="B34" i="2"/>
  <c r="H33" i="2"/>
  <c r="G33" i="2"/>
  <c r="F33" i="2"/>
  <c r="E33" i="2"/>
  <c r="D33" i="2"/>
  <c r="C33" i="2"/>
  <c r="B33" i="2"/>
  <c r="H32" i="2"/>
  <c r="G32" i="2"/>
  <c r="F32" i="2"/>
  <c r="E32" i="2"/>
  <c r="D32" i="2"/>
  <c r="C32" i="2"/>
  <c r="B32" i="2"/>
  <c r="H31" i="2"/>
  <c r="G31" i="2"/>
  <c r="F31" i="2"/>
  <c r="E31" i="2"/>
  <c r="D31" i="2"/>
  <c r="C31" i="2"/>
  <c r="B31" i="2"/>
  <c r="H30" i="2"/>
  <c r="G30" i="2"/>
  <c r="F30" i="2"/>
  <c r="E30" i="2"/>
  <c r="D30" i="2"/>
  <c r="C30" i="2"/>
  <c r="B30" i="2"/>
  <c r="H29" i="2"/>
  <c r="G29" i="2"/>
  <c r="F29" i="2"/>
  <c r="E29" i="2"/>
  <c r="D29" i="2"/>
  <c r="C29" i="2"/>
  <c r="B29" i="2"/>
  <c r="H28" i="2"/>
  <c r="G28" i="2"/>
  <c r="F28" i="2"/>
  <c r="E28" i="2"/>
  <c r="D28" i="2"/>
  <c r="C28" i="2"/>
  <c r="B28" i="2"/>
  <c r="H27" i="2"/>
  <c r="G27" i="2"/>
  <c r="F27" i="2"/>
  <c r="E27" i="2"/>
  <c r="D27" i="2"/>
  <c r="C27" i="2"/>
  <c r="B27" i="2"/>
  <c r="H26" i="2"/>
  <c r="G26" i="2"/>
  <c r="F26" i="2"/>
  <c r="E26" i="2"/>
  <c r="D26" i="2"/>
  <c r="C26" i="2"/>
  <c r="B26" i="2"/>
  <c r="H25" i="2"/>
  <c r="G25" i="2"/>
  <c r="F25" i="2"/>
  <c r="E25" i="2"/>
  <c r="D25" i="2"/>
  <c r="C25" i="2"/>
  <c r="B25" i="2"/>
  <c r="H24" i="2"/>
  <c r="G24" i="2"/>
  <c r="F24" i="2"/>
  <c r="E24" i="2"/>
  <c r="D24" i="2"/>
  <c r="C24" i="2"/>
  <c r="B24" i="2"/>
  <c r="H23" i="2"/>
  <c r="G23" i="2"/>
  <c r="F23" i="2"/>
  <c r="E23" i="2"/>
  <c r="D23" i="2"/>
  <c r="C23" i="2"/>
  <c r="B23" i="2"/>
  <c r="H22" i="2"/>
  <c r="G22" i="2"/>
  <c r="F22" i="2"/>
  <c r="E22" i="2"/>
  <c r="D22" i="2"/>
  <c r="C22" i="2"/>
  <c r="B22" i="2"/>
  <c r="H21" i="2"/>
  <c r="G21" i="2"/>
  <c r="F21" i="2"/>
  <c r="E21" i="2"/>
  <c r="D21" i="2"/>
  <c r="C21" i="2"/>
  <c r="B21" i="2"/>
  <c r="H20" i="2"/>
  <c r="G20" i="2"/>
  <c r="F20" i="2"/>
  <c r="E20" i="2"/>
  <c r="D20" i="2"/>
  <c r="C20" i="2"/>
  <c r="B20" i="2"/>
  <c r="H19" i="2"/>
  <c r="G19" i="2"/>
  <c r="F19" i="2"/>
  <c r="E19" i="2"/>
  <c r="D19" i="2"/>
  <c r="C19" i="2"/>
  <c r="B19" i="2"/>
  <c r="H18" i="2"/>
  <c r="G18" i="2"/>
  <c r="F18" i="2"/>
  <c r="E18" i="2"/>
  <c r="D18" i="2"/>
  <c r="C18" i="2"/>
  <c r="B18" i="2"/>
  <c r="H17" i="2"/>
  <c r="G17" i="2"/>
  <c r="F17" i="2"/>
  <c r="E17" i="2"/>
  <c r="D17" i="2"/>
  <c r="C17" i="2"/>
  <c r="B17" i="2"/>
  <c r="L14" i="2"/>
  <c r="H16" i="2"/>
  <c r="G16" i="2"/>
  <c r="F16" i="2"/>
  <c r="E16" i="2"/>
  <c r="D16" i="2"/>
  <c r="C16" i="2"/>
  <c r="B16" i="2"/>
  <c r="L13" i="2"/>
  <c r="H15" i="2"/>
  <c r="G15" i="2"/>
  <c r="F15" i="2"/>
  <c r="E15" i="2"/>
  <c r="D15" i="2"/>
  <c r="C15" i="2"/>
  <c r="B15" i="2"/>
  <c r="L12" i="2"/>
  <c r="H14" i="2"/>
  <c r="G14" i="2"/>
  <c r="F14" i="2"/>
  <c r="E14" i="2"/>
  <c r="D14" i="2"/>
  <c r="C14" i="2"/>
  <c r="B14" i="2"/>
  <c r="L11" i="2"/>
  <c r="H13" i="2"/>
  <c r="G13" i="2"/>
  <c r="F13" i="2"/>
  <c r="E13" i="2"/>
  <c r="D13" i="2"/>
  <c r="C13" i="2"/>
  <c r="B13" i="2"/>
  <c r="L10" i="2"/>
  <c r="H12" i="2"/>
  <c r="G12" i="2"/>
  <c r="F12" i="2"/>
  <c r="E12" i="2"/>
  <c r="D12" i="2"/>
  <c r="C12" i="2"/>
  <c r="B12" i="2"/>
  <c r="H11" i="2"/>
  <c r="G11" i="2"/>
  <c r="F11" i="2"/>
  <c r="E11" i="2"/>
  <c r="D11" i="2"/>
  <c r="C11" i="2"/>
  <c r="B11" i="2"/>
  <c r="H10" i="2"/>
  <c r="G10" i="2"/>
  <c r="F10" i="2"/>
  <c r="E10" i="2"/>
  <c r="D10" i="2"/>
  <c r="C10" i="2"/>
  <c r="B10" i="2"/>
  <c r="K5" i="2"/>
  <c r="H5" i="2"/>
  <c r="F5" i="2"/>
  <c r="D5" i="2"/>
  <c r="B5" i="2"/>
  <c r="J5" i="2" s="1"/>
  <c r="R22" i="1"/>
  <c r="Q22" i="1"/>
  <c r="R21" i="1"/>
  <c r="Q21" i="1"/>
  <c r="G13" i="1"/>
  <c r="D10" i="1"/>
  <c r="D7" i="1"/>
  <c r="J10" i="1"/>
  <c r="H4" i="5" l="1"/>
  <c r="G8" i="8"/>
  <c r="E4" i="5"/>
  <c r="H9" i="8"/>
  <c r="G14" i="8"/>
  <c r="G5" i="8"/>
  <c r="H4" i="8"/>
  <c r="H13" i="8"/>
  <c r="H15" i="8"/>
  <c r="G11" i="8"/>
  <c r="G4" i="8"/>
  <c r="H12" i="8"/>
  <c r="N80" i="8"/>
  <c r="K75" i="8"/>
  <c r="M75" i="8" s="1"/>
  <c r="N81" i="8"/>
  <c r="G10" i="1"/>
  <c r="K69" i="8"/>
  <c r="M69" i="8" s="1"/>
  <c r="K73" i="8"/>
  <c r="M73" i="8" s="1"/>
  <c r="K70" i="8"/>
  <c r="M70" i="8" s="1"/>
  <c r="K68" i="8"/>
  <c r="M68" i="8" s="1"/>
  <c r="K72" i="8"/>
  <c r="M72" i="8" s="1"/>
  <c r="K67" i="8"/>
  <c r="M67" i="8" s="1"/>
  <c r="K71" i="8"/>
  <c r="M71" i="8" s="1"/>
  <c r="N82" i="8"/>
  <c r="D13" i="1"/>
  <c r="G7" i="1" s="1"/>
  <c r="K74" i="8"/>
  <c r="M74" i="8" s="1"/>
  <c r="G5" i="4"/>
  <c r="F5" i="4"/>
  <c r="H5" i="8"/>
  <c r="L80" i="8"/>
  <c r="H8" i="8"/>
  <c r="H11" i="8"/>
  <c r="H14" i="8"/>
  <c r="G6" i="8"/>
  <c r="L81" i="8"/>
  <c r="H6" i="8"/>
  <c r="G9" i="8"/>
  <c r="G12" i="8"/>
  <c r="G15" i="8"/>
  <c r="L82" i="8"/>
  <c r="G7" i="8"/>
  <c r="G10" i="8"/>
  <c r="G13" i="8"/>
  <c r="H7" i="8"/>
  <c r="H10" i="8"/>
</calcChain>
</file>

<file path=xl/sharedStrings.xml><?xml version="1.0" encoding="utf-8"?>
<sst xmlns="http://schemas.openxmlformats.org/spreadsheetml/2006/main" count="729" uniqueCount="234">
  <si>
    <t>📅  Filtro de Mês:</t>
  </si>
  <si>
    <t>Setembro</t>
  </si>
  <si>
    <t>⬅ Selecione o mês para atualizar</t>
  </si>
  <si>
    <t>💰 Faturamento</t>
  </si>
  <si>
    <t>📈 Lucro</t>
  </si>
  <si>
    <t>📊 Margem</t>
  </si>
  <si>
    <t>🛒 Pedidos</t>
  </si>
  <si>
    <t>✅ Concluídos</t>
  </si>
  <si>
    <t>Salão</t>
  </si>
  <si>
    <t>Faturamento</t>
  </si>
  <si>
    <t>Status</t>
  </si>
  <si>
    <t>Qtd</t>
  </si>
  <si>
    <t>Concluídos</t>
  </si>
  <si>
    <t>Selecione o mês em D4  •  Projeto de Extensão — Análise de Dados</t>
  </si>
  <si>
    <t>🛒  CONTROLE DE PEDIDOS</t>
  </si>
  <si>
    <t>⏳ Pendentes</t>
  </si>
  <si>
    <t>🎯 Ticket Médio</t>
  </si>
  <si>
    <t>🔄 Processo</t>
  </si>
  <si>
    <t xml:space="preserve">  📋 Pedidos do Mês Selecionado</t>
  </si>
  <si>
    <t>Data</t>
  </si>
  <si>
    <t>Mês</t>
  </si>
  <si>
    <t>Cliente/Salão</t>
  </si>
  <si>
    <t>Produto</t>
  </si>
  <si>
    <t>Valor (R$)</t>
  </si>
  <si>
    <t xml:space="preserve">  🏪 Fat. por Salão</t>
  </si>
  <si>
    <t>Salão Beleza &amp; Cia</t>
  </si>
  <si>
    <t>Salão Glamour</t>
  </si>
  <si>
    <t>Salão Luxo Capilar</t>
  </si>
  <si>
    <t>Salão Cabelos de Ouro</t>
  </si>
  <si>
    <t>Salão Bella Cabelos</t>
  </si>
  <si>
    <t>💸  CONTROLE DE DESPESAS</t>
  </si>
  <si>
    <t>Outubro</t>
  </si>
  <si>
    <t>💸 Total Despesas</t>
  </si>
  <si>
    <t>🧾 Nº Compras</t>
  </si>
  <si>
    <t>📦 Maior Compra</t>
  </si>
  <si>
    <t>📊 Média</t>
  </si>
  <si>
    <t xml:space="preserve">  📋 Compras do Mês Selecionado</t>
  </si>
  <si>
    <t xml:space="preserve">  📊 Por Categoria</t>
  </si>
  <si>
    <t>Descrição</t>
  </si>
  <si>
    <t>Custo Unit.</t>
  </si>
  <si>
    <t>Total (R$)</t>
  </si>
  <si>
    <t>Categoria</t>
  </si>
  <si>
    <t>%</t>
  </si>
  <si>
    <t>Shampoo</t>
  </si>
  <si>
    <t>Condicionador</t>
  </si>
  <si>
    <t>Ampola</t>
  </si>
  <si>
    <t>Máscara</t>
  </si>
  <si>
    <t>Óleo</t>
  </si>
  <si>
    <t>Leave-in</t>
  </si>
  <si>
    <t>Creme de Pentear</t>
  </si>
  <si>
    <t>📈  ANÁLISE DE LUCRO</t>
  </si>
  <si>
    <t>💸 Custo Total</t>
  </si>
  <si>
    <t>💡 Rentab.</t>
  </si>
  <si>
    <t xml:space="preserve">  🏆 Lucro por Produto</t>
  </si>
  <si>
    <t>Qtd Vendida</t>
  </si>
  <si>
    <t>Custo</t>
  </si>
  <si>
    <t>Lucro</t>
  </si>
  <si>
    <t>Margem</t>
  </si>
  <si>
    <t>Shampoo Antiqueda</t>
  </si>
  <si>
    <t>Condicionador Nutritivo</t>
  </si>
  <si>
    <t>Ampola de Reparação</t>
  </si>
  <si>
    <t>Máscara de Hidratação</t>
  </si>
  <si>
    <t>Óleo de Rícino</t>
  </si>
  <si>
    <t>Creme de Pentear Hidratante</t>
  </si>
  <si>
    <t>Shampoo Detox</t>
  </si>
  <si>
    <t>Máscara de Nutrição Profunda</t>
  </si>
  <si>
    <t>Leave-in Nutritivo</t>
  </si>
  <si>
    <t>Condicionador Antifrizz</t>
  </si>
  <si>
    <t>Óleo de Argan</t>
  </si>
  <si>
    <t>Máscara Reconstrutora</t>
  </si>
  <si>
    <t>Creme de Pentear Antifrizz</t>
  </si>
  <si>
    <t>Shampoo Antirresíduos</t>
  </si>
  <si>
    <t>Shampoo Reparador</t>
  </si>
  <si>
    <t>Condicionador Revitalizante</t>
  </si>
  <si>
    <t>Condicionador Hidratante</t>
  </si>
  <si>
    <t>Óleo de Jojoba</t>
  </si>
  <si>
    <t>Ampola de Fortalecimento</t>
  </si>
  <si>
    <t>Máscara Reparadora de Pontas</t>
  </si>
  <si>
    <t>Máscara de Reconstrução</t>
  </si>
  <si>
    <t>Shampoo Hidratante</t>
  </si>
  <si>
    <t>Creme de Pentear Modelador de Cachos</t>
  </si>
  <si>
    <t>Leave-in Hidratante</t>
  </si>
  <si>
    <t>Ampola de Reconstrução</t>
  </si>
  <si>
    <t>📦  CONTROLE DE ESTOQUE</t>
  </si>
  <si>
    <t>📦 Total SKUs</t>
  </si>
  <si>
    <t>📈 Alta</t>
  </si>
  <si>
    <t>📉 Baixa</t>
  </si>
  <si>
    <t>💰 Valor Total</t>
  </si>
  <si>
    <t xml:space="preserve">  📋 Catálogo Completo de Estoque</t>
  </si>
  <si>
    <t>Qtd. Inicial</t>
  </si>
  <si>
    <t>Qtd. Atual</t>
  </si>
  <si>
    <t>Variação</t>
  </si>
  <si>
    <t>Shampoo Revitalizante</t>
  </si>
  <si>
    <t>Shampoo Anti-frizz</t>
  </si>
  <si>
    <t>Shampoo para Cabelos Cacheados</t>
  </si>
  <si>
    <t>Condicionador Reestruturante</t>
  </si>
  <si>
    <t>Condicionador de Cabelos Cacheados</t>
  </si>
  <si>
    <t>Condicionador Reconstrutor</t>
  </si>
  <si>
    <t>Ampola de Brilho</t>
  </si>
  <si>
    <t>Ampola de Hidratação Intensiva</t>
  </si>
  <si>
    <t>Ampola de Hidratação de Óleo de Argan</t>
  </si>
  <si>
    <t>Ampola de Reconstrução Capilar</t>
  </si>
  <si>
    <t>Ampola de Reparação Intensiva</t>
  </si>
  <si>
    <t>Ampola de Reparação Capilar</t>
  </si>
  <si>
    <t>Ampola de Fortalecimento Capilar</t>
  </si>
  <si>
    <t>Ampola Anticabelos</t>
  </si>
  <si>
    <t>Máscara Hidratante de Coco</t>
  </si>
  <si>
    <t>Máscara de Hidratação Intensa</t>
  </si>
  <si>
    <t>Máscara de Reconstrução Capilar</t>
  </si>
  <si>
    <t>Máscara Nutritiva</t>
  </si>
  <si>
    <t>Óleo de Abacate</t>
  </si>
  <si>
    <t>Óleo de Macadâmia</t>
  </si>
  <si>
    <t>Óleo de Amêndoas</t>
  </si>
  <si>
    <t>Óleo Essencial de Lavanda</t>
  </si>
  <si>
    <t>Leave-in para Cabelos Cacheados</t>
  </si>
  <si>
    <t>Leave-in Reparador</t>
  </si>
  <si>
    <t>Leave-in Antifriz</t>
  </si>
  <si>
    <t>Leave-in Com Proteção Térmica</t>
  </si>
  <si>
    <t>Leave-in Com Proteção UV</t>
  </si>
  <si>
    <t>Leave-in Defrizante</t>
  </si>
  <si>
    <t>Creme de Pentear Reparador</t>
  </si>
  <si>
    <t>Creme de Pentear Cabelos Cacheados</t>
  </si>
  <si>
    <t>Creme de Pentear Defrizante</t>
  </si>
  <si>
    <t>Creme de Pentear Anti-frizz</t>
  </si>
  <si>
    <t xml:space="preserve">  📊 Resumo por Categoria</t>
  </si>
  <si>
    <t>Qtd Atual</t>
  </si>
  <si>
    <t>Valor Estoque</t>
  </si>
  <si>
    <t>🛒  BASE DE DADOS — PEDIDOS</t>
  </si>
  <si>
    <t>Preencha: Data, Mês (texto), Salão, Produto, Qtd, Valor, Status.</t>
  </si>
  <si>
    <t>Dt. Entrega</t>
  </si>
  <si>
    <t>2024-09-03</t>
  </si>
  <si>
    <t>concluído</t>
  </si>
  <si>
    <t>2024-09-08</t>
  </si>
  <si>
    <t>2024-09-05</t>
  </si>
  <si>
    <t>2024-09-09</t>
  </si>
  <si>
    <t>2024-09-12</t>
  </si>
  <si>
    <t>2024-09-10</t>
  </si>
  <si>
    <t>2024-09-14</t>
  </si>
  <si>
    <t>2024-09-16</t>
  </si>
  <si>
    <t>2024-09-15</t>
  </si>
  <si>
    <t>2024-09-19</t>
  </si>
  <si>
    <t>2024-09-17</t>
  </si>
  <si>
    <t>2024-09-21</t>
  </si>
  <si>
    <t>2024-09-20</t>
  </si>
  <si>
    <t>2024-09-24</t>
  </si>
  <si>
    <t>2024-09-22</t>
  </si>
  <si>
    <t>2024-09-26</t>
  </si>
  <si>
    <t>2024-09-25</t>
  </si>
  <si>
    <t>2024-09-29</t>
  </si>
  <si>
    <t>2024-09-27</t>
  </si>
  <si>
    <t>2024-10-01</t>
  </si>
  <si>
    <t>2024-10-10</t>
  </si>
  <si>
    <t>2024-10-15</t>
  </si>
  <si>
    <t>2024-10-12</t>
  </si>
  <si>
    <t>2024-10-11</t>
  </si>
  <si>
    <t>pendente</t>
  </si>
  <si>
    <t>2024-10-14</t>
  </si>
  <si>
    <t>2024-10-13</t>
  </si>
  <si>
    <t>2024-10-18</t>
  </si>
  <si>
    <t>2024-10-16</t>
  </si>
  <si>
    <t>2024-10-17</t>
  </si>
  <si>
    <t>2024-10-22</t>
  </si>
  <si>
    <t>2024-10-20</t>
  </si>
  <si>
    <t>processo</t>
  </si>
  <si>
    <t>2024-10-21</t>
  </si>
  <si>
    <t>2024-10-19</t>
  </si>
  <si>
    <t>2024-10-24</t>
  </si>
  <si>
    <t>2024-10-26</t>
  </si>
  <si>
    <t>2024-10-23</t>
  </si>
  <si>
    <t>2024-10-25</t>
  </si>
  <si>
    <t>2024-10-28</t>
  </si>
  <si>
    <t>2024-10-27</t>
  </si>
  <si>
    <t>2024-11-02</t>
  </si>
  <si>
    <t>Novembro</t>
  </si>
  <si>
    <t>2024-11-07</t>
  </si>
  <si>
    <t>2024-11-03</t>
  </si>
  <si>
    <t>2024-11-06</t>
  </si>
  <si>
    <t>2024-11-04</t>
  </si>
  <si>
    <t>2024-11-08</t>
  </si>
  <si>
    <t>2024-11-05</t>
  </si>
  <si>
    <t>2024-11-09</t>
  </si>
  <si>
    <t>2024-11-11</t>
  </si>
  <si>
    <t>2024-11-12</t>
  </si>
  <si>
    <t>2024-11-10</t>
  </si>
  <si>
    <t>2024-11-15</t>
  </si>
  <si>
    <t>2024-11-16</t>
  </si>
  <si>
    <t>2024-11-13</t>
  </si>
  <si>
    <t>2024-11-17</t>
  </si>
  <si>
    <t>2024-11-14</t>
  </si>
  <si>
    <t>2024-11-19</t>
  </si>
  <si>
    <t>2024-11-21</t>
  </si>
  <si>
    <t>2024-11-18</t>
  </si>
  <si>
    <t>2024-11-22</t>
  </si>
  <si>
    <t>💸  BASE DE DADOS — DESPESAS</t>
  </si>
  <si>
    <t>Preencha: Data, Mês (texto), Descrição, Produto, Custo Unit., Qtd. Total é automático.</t>
  </si>
  <si>
    <t>Total (auto)</t>
  </si>
  <si>
    <t>2024-09-02</t>
  </si>
  <si>
    <t>Compra de Shampoo</t>
  </si>
  <si>
    <t>2024-09-04</t>
  </si>
  <si>
    <t>Compra de Condicionador</t>
  </si>
  <si>
    <t>2024-09-06</t>
  </si>
  <si>
    <t>Compra de Ampola</t>
  </si>
  <si>
    <t>Compra de Máscara</t>
  </si>
  <si>
    <t>2024-09-11</t>
  </si>
  <si>
    <t>Compra de Óleo</t>
  </si>
  <si>
    <t>Compra de Creme de Pentear</t>
  </si>
  <si>
    <t>Compra de Leave-in</t>
  </si>
  <si>
    <t>2024-10-02</t>
  </si>
  <si>
    <t>2024-10-03</t>
  </si>
  <si>
    <t>2024-10-05</t>
  </si>
  <si>
    <t>2024-10-06</t>
  </si>
  <si>
    <t>2024-10-07</t>
  </si>
  <si>
    <t>2024-10-08</t>
  </si>
  <si>
    <t>2024-10-09</t>
  </si>
  <si>
    <t>2024-11-01</t>
  </si>
  <si>
    <t>Esta aba contém apenas fórmulas de apoio para os gráficos do Dashboard. Não editar.</t>
  </si>
  <si>
    <t>Faturamento (R$)</t>
  </si>
  <si>
    <t>Produto (espelho)</t>
  </si>
  <si>
    <t>Score</t>
  </si>
  <si>
    <t>Dezembro</t>
  </si>
  <si>
    <t xml:space="preserve">  🏆 Top Produtos por Faturamento</t>
  </si>
  <si>
    <t xml:space="preserve">  🏪 Faturamento por Salão</t>
  </si>
  <si>
    <t xml:space="preserve">  📋 Status dos Pedidos</t>
  </si>
  <si>
    <t>Ticket Médio</t>
  </si>
  <si>
    <t>📊  DASHBOARD — Natural Mix</t>
  </si>
  <si>
    <t>🛒</t>
  </si>
  <si>
    <t>Pedidos</t>
  </si>
  <si>
    <t xml:space="preserve">✅ </t>
  </si>
  <si>
    <t>Ticket</t>
  </si>
  <si>
    <t xml:space="preserve">🎯 </t>
  </si>
  <si>
    <t xml:space="preserve">📊 </t>
  </si>
  <si>
    <t xml:space="preserve">📈 </t>
  </si>
  <si>
    <t>Despesas</t>
  </si>
  <si>
    <t xml:space="preserve">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</si>
</sst>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R$ &quot;#,##0.00"/>
  </numFmts>
  <fonts count="27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9"/>
      <color rgb="FFBDC3C7"/>
      <name val="Calibri"/>
      <charset val="1"/>
    </font>
    <font>
      <b/>
      <sz val="10"/>
      <color rgb="FFFFFFFF"/>
      <name val="Calibri"/>
      <charset val="1"/>
    </font>
    <font>
      <b/>
      <sz val="11"/>
      <color rgb="FF1E2A3A"/>
      <name val="Calibri"/>
      <charset val="1"/>
    </font>
    <font>
      <i/>
      <sz val="9"/>
      <color rgb="FF888888"/>
      <name val="Calibri"/>
      <charset val="1"/>
    </font>
    <font>
      <b/>
      <sz val="8"/>
      <color rgb="FFFFFFFF"/>
      <name val="Calibri"/>
      <charset val="1"/>
    </font>
    <font>
      <b/>
      <sz val="13"/>
      <color rgb="FF1A1A2E"/>
      <name val="Calibri"/>
      <charset val="1"/>
    </font>
    <font>
      <sz val="10"/>
      <color rgb="FF000000"/>
      <name val="Calibri"/>
      <charset val="1"/>
    </font>
    <font>
      <b/>
      <sz val="9"/>
      <color rgb="FFFFFFFF"/>
      <name val="Calibri"/>
      <charset val="1"/>
    </font>
    <font>
      <sz val="9"/>
      <color rgb="FF000000"/>
      <name val="Calibri"/>
      <charset val="1"/>
    </font>
    <font>
      <b/>
      <sz val="9"/>
      <color rgb="FF000000"/>
      <name val="Calibri"/>
      <charset val="1"/>
    </font>
    <font>
      <b/>
      <sz val="11"/>
      <color rgb="FF2ECC71"/>
      <name val="Calibri"/>
      <charset val="1"/>
    </font>
    <font>
      <b/>
      <sz val="9"/>
      <color rgb="FF2ECC71"/>
      <name val="Calibri"/>
      <charset val="1"/>
    </font>
    <font>
      <b/>
      <sz val="11"/>
      <color rgb="FFF39C12"/>
      <name val="Calibri"/>
      <charset val="1"/>
    </font>
    <font>
      <b/>
      <sz val="9"/>
      <color rgb="FFF39C12"/>
      <name val="Calibri"/>
      <charset val="1"/>
    </font>
    <font>
      <b/>
      <sz val="11"/>
      <color rgb="FF3498DB"/>
      <name val="Calibri"/>
      <charset val="1"/>
    </font>
    <font>
      <b/>
      <sz val="9"/>
      <color rgb="FF3498DB"/>
      <name val="Calibri"/>
      <charset val="1"/>
    </font>
    <font>
      <b/>
      <sz val="14"/>
      <color rgb="FFFFFFFF"/>
      <name val="Calibri"/>
      <charset val="1"/>
    </font>
    <font>
      <b/>
      <sz val="13"/>
      <color rgb="FFFFFFFF"/>
      <name val="Calibri"/>
      <charset val="1"/>
    </font>
    <font>
      <i/>
      <sz val="9"/>
      <color rgb="FF8A93A3"/>
      <name val="Calibri"/>
    </font>
    <font>
      <b/>
      <sz val="9"/>
      <color rgb="FFFFFFFF"/>
      <name val="Calibri"/>
    </font>
    <font>
      <sz val="9"/>
      <color rgb="FF334155"/>
      <name val="Calibri"/>
    </font>
    <font>
      <b/>
      <sz val="15"/>
      <color rgb="FF1B2838"/>
      <name val="Calibri"/>
    </font>
    <font>
      <sz val="11"/>
      <name val="Calibri"/>
    </font>
    <font>
      <i/>
      <sz val="8"/>
      <color rgb="FFC9CFD8"/>
      <name val="Calibri"/>
    </font>
    <font>
      <b/>
      <sz val="10"/>
      <color theme="1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1E2A3A"/>
        <bgColor rgb="FF1A1A2E"/>
      </patternFill>
    </fill>
    <fill>
      <patternFill patternType="solid">
        <fgColor rgb="FF2C3E50"/>
        <bgColor rgb="FF1E2A3A"/>
      </patternFill>
    </fill>
    <fill>
      <patternFill patternType="solid">
        <fgColor rgb="FFF0F4F8"/>
        <bgColor rgb="FFF0F8FF"/>
      </patternFill>
    </fill>
    <fill>
      <patternFill patternType="solid">
        <fgColor rgb="FFEBF5EB"/>
        <bgColor rgb="FFF0F4F8"/>
      </patternFill>
    </fill>
    <fill>
      <patternFill patternType="solid">
        <fgColor rgb="FFFFFFFF"/>
        <bgColor rgb="FFFFF8F8"/>
      </patternFill>
    </fill>
    <fill>
      <patternFill patternType="solid">
        <fgColor rgb="FFFDEDEC"/>
        <bgColor rgb="FFFFF8F8"/>
      </patternFill>
    </fill>
    <fill>
      <patternFill patternType="solid">
        <fgColor rgb="FFF0F8FF"/>
        <bgColor rgb="FFF0F4F8"/>
      </patternFill>
    </fill>
    <fill>
      <patternFill patternType="solid">
        <fgColor rgb="FFFFF8F8"/>
        <bgColor rgb="FFF9F9F9"/>
      </patternFill>
    </fill>
    <fill>
      <patternFill patternType="solid">
        <fgColor rgb="FF223349"/>
      </patternFill>
    </fill>
    <fill>
      <patternFill patternType="solid">
        <fgColor rgb="FFF7F9FA"/>
      </patternFill>
    </fill>
    <fill>
      <patternFill patternType="solid">
        <fgColor rgb="FF1B283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rgb="FFFDEDE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rgb="FF2980B9"/>
      </patternFill>
    </fill>
    <fill>
      <patternFill patternType="solid">
        <fgColor theme="3" tint="0.59999389629810485"/>
        <bgColor rgb="FF27AE6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rgb="FFC0392B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rgb="FFF57F17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rgb="FF27AE60"/>
      </patternFill>
    </fill>
    <fill>
      <patternFill patternType="solid">
        <fgColor theme="6" tint="0.39997558519241921"/>
        <bgColor rgb="FF27AE60"/>
      </patternFill>
    </fill>
    <fill>
      <patternFill patternType="solid">
        <fgColor theme="8" tint="0.39997558519241921"/>
        <bgColor rgb="FF2980B9"/>
      </patternFill>
    </fill>
    <fill>
      <patternFill patternType="solid">
        <fgColor theme="8" tint="0.59999389629810485"/>
        <bgColor rgb="FF2980B9"/>
      </patternFill>
    </fill>
    <fill>
      <patternFill patternType="solid">
        <fgColor theme="7" tint="0.59999389629810485"/>
        <bgColor rgb="FFF57F17"/>
      </patternFill>
    </fill>
    <fill>
      <patternFill patternType="solid">
        <fgColor theme="7" tint="0.59999389629810485"/>
        <bgColor rgb="FFC0392B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rgb="FF2980B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rgb="FFF57F17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rgb="FF1E2A3A"/>
      </patternFill>
    </fill>
    <fill>
      <patternFill patternType="solid">
        <fgColor theme="3" tint="0.59999389629810485"/>
        <bgColor rgb="FF2980B9"/>
      </patternFill>
    </fill>
    <fill>
      <patternFill patternType="solid">
        <fgColor theme="7" tint="0.39997558519241921"/>
        <bgColor rgb="FFF57F17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rgb="FF1E2A3A"/>
      </patternFill>
    </fill>
  </fills>
  <borders count="37">
    <border>
      <left/>
      <right/>
      <top/>
      <bottom/>
      <diagonal/>
    </border>
    <border>
      <left style="thin">
        <color rgb="FFDCE1E6"/>
      </left>
      <right style="thin">
        <color rgb="FFDCE1E6"/>
      </right>
      <top style="thin">
        <color rgb="FFDCE1E6"/>
      </top>
      <bottom style="thin">
        <color rgb="FFDCE1E6"/>
      </bottom>
      <diagonal/>
    </border>
    <border>
      <left style="medium">
        <color rgb="FF1B2838"/>
      </left>
      <right/>
      <top/>
      <bottom/>
      <diagonal/>
    </border>
    <border>
      <left/>
      <right style="medium">
        <color rgb="FF1B2838"/>
      </right>
      <top/>
      <bottom/>
      <diagonal/>
    </border>
    <border>
      <left style="medium">
        <color rgb="FF1B2838"/>
      </left>
      <right style="thin">
        <color rgb="FFDCE1E6"/>
      </right>
      <top style="thin">
        <color rgb="FFDCE1E6"/>
      </top>
      <bottom/>
      <diagonal/>
    </border>
    <border>
      <left style="medium">
        <color rgb="FF1B2838"/>
      </left>
      <right style="thin">
        <color rgb="FFDCE1E6"/>
      </right>
      <top/>
      <bottom style="thin">
        <color rgb="FFDCE1E6"/>
      </bottom>
      <diagonal/>
    </border>
    <border>
      <left style="medium">
        <color rgb="FF1B2838"/>
      </left>
      <right style="thin">
        <color rgb="FFDCE1E6"/>
      </right>
      <top style="thin">
        <color rgb="FFDCE1E6"/>
      </top>
      <bottom style="thin">
        <color rgb="FFDCE1E6"/>
      </bottom>
      <diagonal/>
    </border>
    <border>
      <left style="thin">
        <color rgb="FFDCE1E6"/>
      </left>
      <right style="medium">
        <color rgb="FF1B2838"/>
      </right>
      <top style="thin">
        <color rgb="FFDCE1E6"/>
      </top>
      <bottom style="thin">
        <color rgb="FFDCE1E6"/>
      </bottom>
      <diagonal/>
    </border>
    <border>
      <left/>
      <right style="thin">
        <color rgb="FFDCE1E6"/>
      </right>
      <top style="thin">
        <color rgb="FFDCE1E6"/>
      </top>
      <bottom style="thin">
        <color rgb="FFDCE1E6"/>
      </bottom>
      <diagonal/>
    </border>
    <border>
      <left/>
      <right/>
      <top style="thin">
        <color rgb="FFDCE1E6"/>
      </top>
      <bottom style="thin">
        <color rgb="FFDCE1E6"/>
      </bottom>
      <diagonal/>
    </border>
    <border>
      <left style="medium">
        <color rgb="FF1B2838"/>
      </left>
      <right style="medium">
        <color rgb="FF1B2838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7" tint="0.59999389629810485"/>
      </left>
      <right/>
      <top style="thin">
        <color theme="7" tint="0.59999389629810485"/>
      </top>
      <bottom/>
      <diagonal/>
    </border>
    <border>
      <left/>
      <right style="thin">
        <color theme="7" tint="0.59999389629810485"/>
      </right>
      <top style="thin">
        <color theme="7" tint="0.59999389629810485"/>
      </top>
      <bottom/>
      <diagonal/>
    </border>
    <border>
      <left style="thin">
        <color theme="7" tint="0.59999389629810485"/>
      </left>
      <right/>
      <top/>
      <bottom style="thin">
        <color theme="7" tint="0.59999389629810485"/>
      </bottom>
      <diagonal/>
    </border>
    <border>
      <left style="thin">
        <color rgb="FFDCE1E6"/>
      </left>
      <right style="thin">
        <color theme="7" tint="0.59999389629810485"/>
      </right>
      <top/>
      <bottom style="thin">
        <color theme="7" tint="0.59999389629810485"/>
      </bottom>
      <diagonal/>
    </border>
    <border>
      <left style="thin">
        <color theme="8" tint="0.59999389629810485"/>
      </left>
      <right/>
      <top style="thin">
        <color theme="8" tint="0.59999389629810485"/>
      </top>
      <bottom/>
      <diagonal/>
    </border>
    <border>
      <left/>
      <right style="thin">
        <color theme="8" tint="0.59999389629810485"/>
      </right>
      <top style="thin">
        <color theme="8" tint="0.59999389629810485"/>
      </top>
      <bottom/>
      <diagonal/>
    </border>
    <border>
      <left style="thin">
        <color theme="8" tint="0.59999389629810485"/>
      </left>
      <right/>
      <top/>
      <bottom style="thin">
        <color theme="8" tint="0.59999389629810485"/>
      </bottom>
      <diagonal/>
    </border>
    <border>
      <left style="thin">
        <color rgb="FFDCE1E6"/>
      </left>
      <right style="thin">
        <color theme="8" tint="0.59999389629810485"/>
      </right>
      <top/>
      <bottom style="thin">
        <color theme="8" tint="0.59999389629810485"/>
      </bottom>
      <diagonal/>
    </border>
    <border>
      <left style="thin">
        <color theme="9" tint="0.59999389629810485"/>
      </left>
      <right/>
      <top style="thin">
        <color theme="9" tint="0.59999389629810485"/>
      </top>
      <bottom/>
      <diagonal/>
    </border>
    <border>
      <left/>
      <right style="thin">
        <color theme="9" tint="0.59999389629810485"/>
      </right>
      <top style="thin">
        <color theme="9" tint="0.59999389629810485"/>
      </top>
      <bottom/>
      <diagonal/>
    </border>
    <border>
      <left style="thin">
        <color theme="9" tint="0.59999389629810485"/>
      </left>
      <right/>
      <top/>
      <bottom style="thin">
        <color theme="9" tint="0.59999389629810485"/>
      </bottom>
      <diagonal/>
    </border>
    <border>
      <left style="thin">
        <color rgb="FFDCE1E6"/>
      </left>
      <right style="thin">
        <color theme="9" tint="0.59999389629810485"/>
      </right>
      <top/>
      <bottom style="thin">
        <color theme="9" tint="0.59999389629810485"/>
      </bottom>
      <diagonal/>
    </border>
    <border>
      <left style="thin">
        <color theme="5" tint="0.59999389629810485"/>
      </left>
      <right/>
      <top style="thin">
        <color theme="5" tint="0.59999389629810485"/>
      </top>
      <bottom/>
      <diagonal/>
    </border>
    <border>
      <left/>
      <right style="thin">
        <color theme="5" tint="0.59999389629810485"/>
      </right>
      <top style="thin">
        <color theme="5" tint="0.59999389629810485"/>
      </top>
      <bottom/>
      <diagonal/>
    </border>
    <border>
      <left style="thin">
        <color theme="5" tint="0.59999389629810485"/>
      </left>
      <right/>
      <top/>
      <bottom style="thin">
        <color theme="5" tint="0.59999389629810485"/>
      </bottom>
      <diagonal/>
    </border>
    <border>
      <left style="thin">
        <color rgb="FFDCE1E6"/>
      </left>
      <right style="thin">
        <color theme="5" tint="0.59999389629810485"/>
      </right>
      <top/>
      <bottom style="thin">
        <color theme="5" tint="0.59999389629810485"/>
      </bottom>
      <diagonal/>
    </border>
    <border>
      <left style="thin">
        <color theme="6" tint="0.59999389629810485"/>
      </left>
      <right/>
      <top style="thin">
        <color theme="6" tint="0.59999389629810485"/>
      </top>
      <bottom/>
      <diagonal/>
    </border>
    <border>
      <left/>
      <right style="thin">
        <color theme="6" tint="0.59999389629810485"/>
      </right>
      <top style="thin">
        <color theme="6" tint="0.59999389629810485"/>
      </top>
      <bottom/>
      <diagonal/>
    </border>
    <border>
      <left style="thin">
        <color theme="6" tint="0.59999389629810485"/>
      </left>
      <right/>
      <top/>
      <bottom style="thin">
        <color theme="6" tint="0.59999389629810485"/>
      </bottom>
      <diagonal/>
    </border>
    <border>
      <left style="thin">
        <color rgb="FFDCE1E6"/>
      </left>
      <right style="thin">
        <color theme="6" tint="0.59999389629810485"/>
      </right>
      <top/>
      <bottom style="thin">
        <color theme="6" tint="0.59999389629810485"/>
      </bottom>
      <diagonal/>
    </border>
    <border>
      <left style="thin">
        <color theme="3" tint="0.59999389629810485"/>
      </left>
      <right/>
      <top style="thin">
        <color theme="3" tint="0.59999389629810485"/>
      </top>
      <bottom/>
      <diagonal/>
    </border>
    <border>
      <left/>
      <right style="thin">
        <color theme="3" tint="0.59999389629810485"/>
      </right>
      <top style="thin">
        <color theme="3" tint="0.59999389629810485"/>
      </top>
      <bottom/>
      <diagonal/>
    </border>
    <border>
      <left style="thin">
        <color theme="3" tint="0.59999389629810485"/>
      </left>
      <right/>
      <top/>
      <bottom style="thin">
        <color theme="3" tint="0.59999389629810485"/>
      </bottom>
      <diagonal/>
    </border>
    <border>
      <left style="thin">
        <color rgb="FFDCE1E6"/>
      </left>
      <right style="thin">
        <color theme="3" tint="0.59999389629810485"/>
      </right>
      <top/>
      <bottom style="thin">
        <color theme="3" tint="0.59999389629810485"/>
      </bottom>
      <diagonal/>
    </border>
  </borders>
  <cellStyleXfs count="1">
    <xf numFmtId="0" fontId="0" fillId="0" borderId="0"/>
  </cellStyleXfs>
  <cellXfs count="171">
    <xf numFmtId="0" fontId="0" fillId="0" borderId="0" xfId="0"/>
    <xf numFmtId="164" fontId="7" fillId="4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left" vertical="center" indent="1"/>
    </xf>
    <xf numFmtId="165" fontId="10" fillId="5" borderId="0" xfId="0" applyNumberFormat="1" applyFont="1" applyFill="1" applyAlignment="1">
      <alignment horizontal="right" vertical="center"/>
    </xf>
    <xf numFmtId="165" fontId="10" fillId="4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left" vertical="center" indent="1"/>
    </xf>
    <xf numFmtId="165" fontId="10" fillId="6" borderId="0" xfId="0" applyNumberFormat="1" applyFont="1" applyFill="1" applyAlignment="1">
      <alignment horizontal="right" vertical="center"/>
    </xf>
    <xf numFmtId="165" fontId="10" fillId="6" borderId="0" xfId="0" applyNumberFormat="1" applyFont="1" applyFill="1" applyAlignment="1">
      <alignment horizontal="center" vertical="center"/>
    </xf>
    <xf numFmtId="165" fontId="0" fillId="0" borderId="0" xfId="0" applyNumberFormat="1"/>
    <xf numFmtId="165" fontId="11" fillId="5" borderId="0" xfId="0" applyNumberFormat="1" applyFont="1" applyFill="1" applyAlignment="1">
      <alignment horizontal="right" vertical="center"/>
    </xf>
    <xf numFmtId="9" fontId="11" fillId="5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165" fontId="11" fillId="6" borderId="0" xfId="0" applyNumberFormat="1" applyFont="1" applyFill="1" applyAlignment="1">
      <alignment horizontal="right" vertical="center"/>
    </xf>
    <xf numFmtId="9" fontId="11" fillId="6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 indent="1"/>
    </xf>
    <xf numFmtId="165" fontId="10" fillId="7" borderId="0" xfId="0" applyNumberFormat="1" applyFont="1" applyFill="1" applyAlignment="1">
      <alignment horizontal="right" vertical="center"/>
    </xf>
    <xf numFmtId="164" fontId="10" fillId="7" borderId="0" xfId="0" applyNumberFormat="1" applyFont="1" applyFill="1" applyAlignment="1">
      <alignment horizontal="center" vertical="center"/>
    </xf>
    <xf numFmtId="164" fontId="10" fillId="6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65" fontId="10" fillId="5" borderId="0" xfId="0" applyNumberFormat="1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left" vertical="center"/>
    </xf>
    <xf numFmtId="165" fontId="10" fillId="8" borderId="0" xfId="0" applyNumberFormat="1" applyFont="1" applyFill="1" applyAlignment="1">
      <alignment horizontal="right" vertical="center"/>
    </xf>
    <xf numFmtId="0" fontId="0" fillId="6" borderId="0" xfId="0" applyFill="1"/>
    <xf numFmtId="0" fontId="0" fillId="8" borderId="0" xfId="0" applyFill="1"/>
    <xf numFmtId="0" fontId="10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/>
    </xf>
    <xf numFmtId="165" fontId="10" fillId="9" borderId="0" xfId="0" applyNumberFormat="1" applyFont="1" applyFill="1" applyAlignment="1">
      <alignment horizontal="center" vertical="center"/>
    </xf>
    <xf numFmtId="165" fontId="10" fillId="9" borderId="0" xfId="0" applyNumberFormat="1" applyFont="1" applyFill="1" applyAlignment="1">
      <alignment horizontal="right" vertical="center"/>
    </xf>
    <xf numFmtId="0" fontId="0" fillId="9" borderId="0" xfId="0" applyFill="1"/>
    <xf numFmtId="0" fontId="20" fillId="0" borderId="0" xfId="0" applyFont="1"/>
    <xf numFmtId="0" fontId="21" fillId="10" borderId="0" xfId="0" applyFont="1" applyFill="1"/>
    <xf numFmtId="0" fontId="22" fillId="0" borderId="0" xfId="0" applyFont="1"/>
    <xf numFmtId="165" fontId="22" fillId="0" borderId="0" xfId="0" applyNumberFormat="1" applyFont="1"/>
    <xf numFmtId="0" fontId="0" fillId="0" borderId="3" xfId="0" applyBorder="1"/>
    <xf numFmtId="0" fontId="9" fillId="3" borderId="1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9" fontId="13" fillId="4" borderId="7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9" fontId="15" fillId="6" borderId="7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9" fontId="17" fillId="4" borderId="7" xfId="0" applyNumberFormat="1" applyFont="1" applyFill="1" applyBorder="1" applyAlignment="1">
      <alignment horizontal="center" vertical="center"/>
    </xf>
    <xf numFmtId="9" fontId="11" fillId="5" borderId="1" xfId="0" applyNumberFormat="1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9" fontId="11" fillId="6" borderId="1" xfId="0" applyNumberFormat="1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165" fontId="7" fillId="4" borderId="0" xfId="0" applyNumberFormat="1" applyFont="1" applyFill="1" applyAlignment="1">
      <alignment horizontal="center" vertical="center"/>
    </xf>
    <xf numFmtId="0" fontId="24" fillId="0" borderId="11" xfId="0" applyFont="1" applyBorder="1"/>
    <xf numFmtId="0" fontId="5" fillId="0" borderId="0" xfId="0" applyFont="1" applyAlignment="1">
      <alignment horizontal="center" vertical="center"/>
    </xf>
    <xf numFmtId="0" fontId="0" fillId="0" borderId="0" xfId="0"/>
    <xf numFmtId="0" fontId="25" fillId="12" borderId="12" xfId="0" applyFont="1" applyFill="1" applyBorder="1" applyAlignment="1">
      <alignment horizontal="center" vertical="center"/>
    </xf>
    <xf numFmtId="0" fontId="0" fillId="0" borderId="3" xfId="0" applyBorder="1"/>
    <xf numFmtId="165" fontId="7" fillId="4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  <xf numFmtId="0" fontId="10" fillId="5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10" fillId="6" borderId="0" xfId="0" applyFont="1" applyFill="1" applyAlignment="1">
      <alignment horizontal="left" vertical="center" indent="1"/>
    </xf>
    <xf numFmtId="0" fontId="19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5" fontId="11" fillId="6" borderId="1" xfId="0" applyNumberFormat="1" applyFont="1" applyFill="1" applyBorder="1" applyAlignment="1">
      <alignment horizontal="right" vertical="center"/>
    </xf>
    <xf numFmtId="0" fontId="0" fillId="0" borderId="8" xfId="0" applyBorder="1"/>
    <xf numFmtId="0" fontId="10" fillId="5" borderId="6" xfId="0" applyFont="1" applyFill="1" applyBorder="1" applyAlignment="1">
      <alignment horizontal="left" vertical="center" indent="1"/>
    </xf>
    <xf numFmtId="0" fontId="0" fillId="0" borderId="9" xfId="0" applyBorder="1"/>
    <xf numFmtId="165" fontId="10" fillId="4" borderId="1" xfId="0" applyNumberFormat="1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left" vertical="center" indent="1"/>
    </xf>
    <xf numFmtId="0" fontId="3" fillId="3" borderId="10" xfId="0" applyFont="1" applyFill="1" applyBorder="1" applyAlignment="1">
      <alignment horizontal="left" vertical="center" indent="1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right" vertical="center"/>
    </xf>
    <xf numFmtId="165" fontId="10" fillId="6" borderId="1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 indent="1"/>
    </xf>
    <xf numFmtId="0" fontId="11" fillId="6" borderId="1" xfId="0" applyFont="1" applyFill="1" applyBorder="1" applyAlignment="1">
      <alignment horizontal="left" vertical="center" indent="1"/>
    </xf>
    <xf numFmtId="0" fontId="11" fillId="4" borderId="1" xfId="0" applyFont="1" applyFill="1" applyBorder="1" applyAlignment="1">
      <alignment horizontal="left" vertical="center" indent="1"/>
    </xf>
    <xf numFmtId="165" fontId="11" fillId="5" borderId="1" xfId="0" applyNumberFormat="1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left" vertical="center" indent="1"/>
    </xf>
    <xf numFmtId="165" fontId="10" fillId="6" borderId="1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0" xfId="0" applyAlignment="1"/>
    <xf numFmtId="0" fontId="0" fillId="13" borderId="13" xfId="0" applyFill="1" applyBorder="1" applyAlignment="1">
      <alignment horizontal="center" vertical="center"/>
    </xf>
    <xf numFmtId="0" fontId="26" fillId="0" borderId="14" xfId="0" applyFont="1" applyFill="1" applyBorder="1" applyAlignment="1">
      <alignment vertical="center"/>
    </xf>
    <xf numFmtId="0" fontId="0" fillId="13" borderId="15" xfId="0" applyFill="1" applyBorder="1" applyAlignment="1">
      <alignment horizontal="center" vertical="center"/>
    </xf>
    <xf numFmtId="0" fontId="23" fillId="11" borderId="16" xfId="0" applyFont="1" applyFill="1" applyBorder="1" applyAlignment="1">
      <alignment vertical="center"/>
    </xf>
    <xf numFmtId="0" fontId="0" fillId="14" borderId="0" xfId="0" applyFill="1"/>
    <xf numFmtId="0" fontId="0" fillId="0" borderId="0" xfId="0" applyFill="1"/>
    <xf numFmtId="0" fontId="0" fillId="14" borderId="12" xfId="0" applyFill="1" applyBorder="1"/>
    <xf numFmtId="0" fontId="0" fillId="16" borderId="17" xfId="0" applyFill="1" applyBorder="1" applyAlignment="1">
      <alignment horizontal="center" vertical="center"/>
    </xf>
    <xf numFmtId="0" fontId="26" fillId="0" borderId="18" xfId="0" applyFont="1" applyFill="1" applyBorder="1" applyAlignment="1">
      <alignment vertical="center"/>
    </xf>
    <xf numFmtId="0" fontId="0" fillId="16" borderId="19" xfId="0" applyFill="1" applyBorder="1" applyAlignment="1">
      <alignment horizontal="center" vertical="center"/>
    </xf>
    <xf numFmtId="0" fontId="23" fillId="11" borderId="20" xfId="0" applyFont="1" applyFill="1" applyBorder="1" applyAlignment="1">
      <alignment vertical="center"/>
    </xf>
    <xf numFmtId="0" fontId="0" fillId="18" borderId="21" xfId="0" applyFill="1" applyBorder="1" applyAlignment="1">
      <alignment horizontal="center" vertical="center"/>
    </xf>
    <xf numFmtId="0" fontId="26" fillId="0" borderId="22" xfId="0" applyFont="1" applyFill="1" applyBorder="1" applyAlignment="1">
      <alignment vertical="center"/>
    </xf>
    <xf numFmtId="0" fontId="0" fillId="18" borderId="23" xfId="0" applyFill="1" applyBorder="1" applyAlignment="1">
      <alignment horizontal="center" vertical="center"/>
    </xf>
    <xf numFmtId="0" fontId="23" fillId="11" borderId="24" xfId="0" applyFont="1" applyFill="1" applyBorder="1" applyAlignment="1">
      <alignment vertical="center"/>
    </xf>
    <xf numFmtId="0" fontId="0" fillId="17" borderId="25" xfId="0" applyFill="1" applyBorder="1" applyAlignment="1">
      <alignment horizontal="center" vertical="center"/>
    </xf>
    <xf numFmtId="0" fontId="26" fillId="0" borderId="26" xfId="0" applyFont="1" applyFill="1" applyBorder="1" applyAlignment="1">
      <alignment vertical="center"/>
    </xf>
    <xf numFmtId="0" fontId="0" fillId="17" borderId="27" xfId="0" applyFill="1" applyBorder="1" applyAlignment="1">
      <alignment horizontal="center" vertical="center"/>
    </xf>
    <xf numFmtId="0" fontId="23" fillId="11" borderId="28" xfId="0" applyFont="1" applyFill="1" applyBorder="1" applyAlignment="1">
      <alignment vertical="center"/>
    </xf>
    <xf numFmtId="0" fontId="0" fillId="15" borderId="29" xfId="0" applyFill="1" applyBorder="1" applyAlignment="1">
      <alignment horizontal="center" vertical="center"/>
    </xf>
    <xf numFmtId="0" fontId="26" fillId="0" borderId="30" xfId="0" applyFont="1" applyFill="1" applyBorder="1" applyAlignment="1">
      <alignment vertical="center"/>
    </xf>
    <xf numFmtId="0" fontId="0" fillId="15" borderId="31" xfId="0" applyFill="1" applyBorder="1" applyAlignment="1">
      <alignment horizontal="center" vertical="center"/>
    </xf>
    <xf numFmtId="0" fontId="23" fillId="11" borderId="32" xfId="0" applyFont="1" applyFill="1" applyBorder="1" applyAlignment="1">
      <alignment vertical="center"/>
    </xf>
    <xf numFmtId="0" fontId="0" fillId="19" borderId="33" xfId="0" applyFill="1" applyBorder="1" applyAlignment="1">
      <alignment horizontal="center" vertical="center"/>
    </xf>
    <xf numFmtId="0" fontId="26" fillId="0" borderId="34" xfId="0" applyFont="1" applyFill="1" applyBorder="1" applyAlignment="1">
      <alignment vertical="center"/>
    </xf>
    <xf numFmtId="0" fontId="0" fillId="19" borderId="35" xfId="0" applyFill="1" applyBorder="1" applyAlignment="1">
      <alignment horizontal="center" vertical="center"/>
    </xf>
    <xf numFmtId="0" fontId="23" fillId="11" borderId="36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165" fontId="23" fillId="11" borderId="5" xfId="0" applyNumberFormat="1" applyFont="1" applyFill="1" applyBorder="1" applyAlignment="1">
      <alignment vertical="center"/>
    </xf>
    <xf numFmtId="0" fontId="26" fillId="20" borderId="4" xfId="0" applyFont="1" applyFill="1" applyBorder="1" applyAlignment="1">
      <alignment vertical="center"/>
    </xf>
    <xf numFmtId="0" fontId="4" fillId="21" borderId="12" xfId="0" applyFont="1" applyFill="1" applyBorder="1" applyAlignment="1">
      <alignment horizontal="center" vertical="center"/>
    </xf>
    <xf numFmtId="0" fontId="0" fillId="22" borderId="12" xfId="0" applyFill="1" applyBorder="1"/>
    <xf numFmtId="0" fontId="0" fillId="22" borderId="0" xfId="0" applyFill="1"/>
    <xf numFmtId="0" fontId="3" fillId="3" borderId="0" xfId="0" applyFont="1" applyFill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0" fontId="0" fillId="20" borderId="0" xfId="0" applyFill="1"/>
    <xf numFmtId="0" fontId="8" fillId="23" borderId="0" xfId="0" applyFont="1" applyFill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0" fillId="25" borderId="0" xfId="0" applyFill="1"/>
    <xf numFmtId="0" fontId="8" fillId="24" borderId="0" xfId="0" applyFont="1" applyFill="1" applyAlignment="1">
      <alignment horizontal="center" vertical="center"/>
    </xf>
    <xf numFmtId="0" fontId="6" fillId="26" borderId="0" xfId="0" applyFont="1" applyFill="1" applyAlignment="1">
      <alignment horizontal="center" vertical="center"/>
    </xf>
    <xf numFmtId="0" fontId="0" fillId="27" borderId="0" xfId="0" applyFill="1"/>
    <xf numFmtId="0" fontId="8" fillId="26" borderId="0" xfId="0" applyFont="1" applyFill="1" applyAlignment="1">
      <alignment horizontal="center" vertical="center"/>
    </xf>
    <xf numFmtId="0" fontId="6" fillId="28" borderId="0" xfId="0" applyFont="1" applyFill="1" applyAlignment="1">
      <alignment horizontal="center" vertical="center"/>
    </xf>
    <xf numFmtId="0" fontId="0" fillId="29" borderId="0" xfId="0" applyFill="1"/>
    <xf numFmtId="0" fontId="8" fillId="28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vertical="center"/>
    </xf>
    <xf numFmtId="0" fontId="6" fillId="30" borderId="0" xfId="0" applyFont="1" applyFill="1" applyAlignment="1">
      <alignment vertical="center"/>
    </xf>
    <xf numFmtId="0" fontId="8" fillId="30" borderId="0" xfId="0" applyFont="1" applyFill="1" applyAlignment="1">
      <alignment vertical="center"/>
    </xf>
    <xf numFmtId="0" fontId="6" fillId="31" borderId="0" xfId="0" applyFont="1" applyFill="1" applyAlignment="1">
      <alignment horizontal="center" vertical="center"/>
    </xf>
    <xf numFmtId="0" fontId="8" fillId="31" borderId="0" xfId="0" applyFont="1" applyFill="1" applyAlignment="1">
      <alignment horizontal="center" vertical="center"/>
    </xf>
    <xf numFmtId="0" fontId="6" fillId="33" borderId="0" xfId="0" applyFont="1" applyFill="1" applyAlignment="1">
      <alignment horizontal="center" vertical="center"/>
    </xf>
    <xf numFmtId="0" fontId="8" fillId="33" borderId="0" xfId="0" applyFont="1" applyFill="1" applyAlignment="1">
      <alignment horizontal="center" vertical="center"/>
    </xf>
    <xf numFmtId="0" fontId="6" fillId="34" borderId="0" xfId="0" applyFont="1" applyFill="1" applyAlignment="1">
      <alignment horizontal="center" vertical="center"/>
    </xf>
    <xf numFmtId="0" fontId="8" fillId="34" borderId="0" xfId="0" applyFont="1" applyFill="1" applyAlignment="1">
      <alignment horizontal="center" vertical="center"/>
    </xf>
    <xf numFmtId="0" fontId="6" fillId="35" borderId="0" xfId="0" applyFont="1" applyFill="1" applyAlignment="1">
      <alignment horizontal="center" vertical="center"/>
    </xf>
    <xf numFmtId="0" fontId="0" fillId="36" borderId="0" xfId="0" applyFill="1"/>
    <xf numFmtId="0" fontId="8" fillId="35" borderId="0" xfId="0" applyFont="1" applyFill="1" applyAlignment="1">
      <alignment horizontal="center" vertical="center"/>
    </xf>
    <xf numFmtId="0" fontId="6" fillId="37" borderId="0" xfId="0" applyFont="1" applyFill="1" applyAlignment="1">
      <alignment horizontal="center" vertical="center"/>
    </xf>
    <xf numFmtId="0" fontId="0" fillId="38" borderId="0" xfId="0" applyFill="1"/>
    <xf numFmtId="0" fontId="8" fillId="37" borderId="0" xfId="0" applyFont="1" applyFill="1" applyAlignment="1">
      <alignment horizontal="center" vertical="center"/>
    </xf>
    <xf numFmtId="0" fontId="6" fillId="39" borderId="0" xfId="0" applyFont="1" applyFill="1" applyAlignment="1">
      <alignment horizontal="center" vertical="center"/>
    </xf>
    <xf numFmtId="0" fontId="0" fillId="40" borderId="0" xfId="0" applyFill="1"/>
    <xf numFmtId="0" fontId="8" fillId="39" borderId="0" xfId="0" applyFont="1" applyFill="1" applyAlignment="1">
      <alignment horizontal="center" vertical="center"/>
    </xf>
    <xf numFmtId="0" fontId="6" fillId="41" borderId="0" xfId="0" applyFont="1" applyFill="1" applyAlignment="1">
      <alignment horizontal="center" vertical="center"/>
    </xf>
    <xf numFmtId="0" fontId="8" fillId="41" borderId="0" xfId="0" applyFont="1" applyFill="1" applyAlignment="1">
      <alignment horizontal="center" vertical="center"/>
    </xf>
    <xf numFmtId="0" fontId="6" fillId="31" borderId="0" xfId="0" applyFont="1" applyFill="1" applyAlignment="1">
      <alignment horizontal="center" vertical="center"/>
    </xf>
    <xf numFmtId="0" fontId="8" fillId="31" borderId="0" xfId="0" applyFont="1" applyFill="1" applyAlignment="1">
      <alignment horizontal="center" vertical="center"/>
    </xf>
    <xf numFmtId="0" fontId="6" fillId="42" borderId="0" xfId="0" applyFont="1" applyFill="1" applyAlignment="1">
      <alignment horizontal="center" vertical="center"/>
    </xf>
    <xf numFmtId="0" fontId="8" fillId="42" borderId="0" xfId="0" applyFont="1" applyFill="1" applyAlignment="1">
      <alignment horizontal="center" vertical="center"/>
    </xf>
    <xf numFmtId="0" fontId="6" fillId="30" borderId="0" xfId="0" applyFont="1" applyFill="1" applyAlignment="1">
      <alignment horizontal="center" vertical="center"/>
    </xf>
    <xf numFmtId="0" fontId="8" fillId="30" borderId="0" xfId="0" applyFont="1" applyFill="1" applyAlignment="1">
      <alignment horizontal="center" vertical="center"/>
    </xf>
    <xf numFmtId="0" fontId="6" fillId="43" borderId="0" xfId="0" applyFont="1" applyFill="1" applyAlignment="1">
      <alignment horizontal="center" vertical="center"/>
    </xf>
    <xf numFmtId="0" fontId="0" fillId="44" borderId="0" xfId="0" applyFill="1"/>
    <xf numFmtId="0" fontId="8" fillId="43" borderId="0" xfId="0" applyFont="1" applyFill="1" applyAlignment="1">
      <alignment horizontal="center" vertical="center"/>
    </xf>
    <xf numFmtId="0" fontId="6" fillId="45" borderId="0" xfId="0" applyFont="1" applyFill="1" applyAlignment="1">
      <alignment horizontal="center" vertical="center"/>
    </xf>
    <xf numFmtId="0" fontId="8" fillId="45" borderId="0" xfId="0" applyFont="1" applyFill="1" applyAlignment="1">
      <alignment horizontal="center" vertical="center"/>
    </xf>
    <xf numFmtId="0" fontId="6" fillId="32" borderId="0" xfId="0" applyFont="1" applyFill="1" applyAlignment="1">
      <alignment horizontal="center" vertical="center"/>
    </xf>
    <xf numFmtId="0" fontId="0" fillId="22" borderId="0" xfId="0" applyFill="1"/>
    <xf numFmtId="0" fontId="8" fillId="32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ont>
        <b/>
        <color rgb="FFB71C1C"/>
        <name val="Calibri"/>
        <charset val="1"/>
      </font>
      <fill>
        <patternFill>
          <bgColor rgb="FFFFCDD2"/>
        </patternFill>
      </fill>
    </dxf>
    <dxf>
      <font>
        <b/>
        <color rgb="FFF57F17"/>
        <name val="Calibri"/>
        <charset val="1"/>
      </font>
      <fill>
        <patternFill>
          <bgColor rgb="FFFFF9C4"/>
        </patternFill>
      </fill>
    </dxf>
    <dxf>
      <font>
        <b/>
        <color rgb="FF1B5E20"/>
        <name val="Calibri"/>
        <charset val="1"/>
      </font>
      <fill>
        <patternFill>
          <bgColor rgb="FFC8E6C9"/>
        </patternFill>
      </fill>
    </dxf>
    <dxf>
      <font>
        <color rgb="FF1B5E20"/>
        <name val="Calibri"/>
        <charset val="1"/>
      </font>
      <fill>
        <patternFill>
          <bgColor rgb="FFC8E6C9"/>
        </patternFill>
      </fill>
    </dxf>
    <dxf>
      <font>
        <color rgb="FFB71C1C"/>
        <name val="Calibri"/>
        <charset val="1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16A085"/>
      <rgbColor rgb="FFBDC3C7"/>
      <rgbColor rgb="FF878787"/>
      <rgbColor rgb="FF9999FF"/>
      <rgbColor rgb="FFC0392B"/>
      <rgbColor rgb="FFFFF9C4"/>
      <rgbColor rgb="FFEBF5EB"/>
      <rgbColor rgb="FF660066"/>
      <rgbColor rgb="FFE74C3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F0F8FF"/>
      <rgbColor rgb="FFC8E6C9"/>
      <rgbColor rgb="FFFDEDEC"/>
      <rgbColor rgb="FFF0F4F8"/>
      <rgbColor rgb="FFFFF8F8"/>
      <rgbColor rgb="FFF9F9F9"/>
      <rgbColor rgb="FFFFCDD2"/>
      <rgbColor rgb="FF3498DB"/>
      <rgbColor rgb="FF2ECC71"/>
      <rgbColor rgb="FF99CC00"/>
      <rgbColor rgb="FFFFCC00"/>
      <rgbColor rgb="FFF39C12"/>
      <rgbColor rgb="FFF57F17"/>
      <rgbColor rgb="FF4F81BD"/>
      <rgbColor rgb="FF888888"/>
      <rgbColor rgb="FF1E2A3A"/>
      <rgbColor rgb="FF27AE60"/>
      <rgbColor rgb="FF003300"/>
      <rgbColor rgb="FF1A1A2E"/>
      <rgbColor rgb="FFB71C1C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por Salão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657914764079148E-2"/>
          <c:y val="0.1066537467700258"/>
          <c:w val="0.70695277777777787"/>
          <c:h val="0.8482235142118863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Dados_Graficos!$F$79</c:f>
              <c:strCache>
                <c:ptCount val="1"/>
                <c:pt idx="0">
                  <c:v>Faturamento (R$)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E0F-4F4B-8484-F8B01EAB161B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E0F-4F4B-8484-F8B01EAB161B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E0F-4F4B-8484-F8B01EAB161B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E0F-4F4B-8484-F8B01EAB161B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E0F-4F4B-8484-F8B01EAB161B}"/>
              </c:ext>
            </c:extLst>
          </c:dPt>
          <c:dLbls>
            <c:spPr>
              <a:noFill/>
              <a:ln>
                <a:noFill/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Dados_Graficos!$B$80:$B$84</c:f>
              <c:strCache>
                <c:ptCount val="5"/>
                <c:pt idx="0">
                  <c:v>Salão Beleza &amp; Cia</c:v>
                </c:pt>
                <c:pt idx="1">
                  <c:v>Salão Glamour</c:v>
                </c:pt>
                <c:pt idx="2">
                  <c:v>Salão Luxo Capilar</c:v>
                </c:pt>
                <c:pt idx="3">
                  <c:v>Salão Cabelos de Ouro</c:v>
                </c:pt>
                <c:pt idx="4">
                  <c:v>Salão Bella Cabelos</c:v>
                </c:pt>
              </c:strCache>
            </c:strRef>
          </c:cat>
          <c:val>
            <c:numRef>
              <c:f>Dados_Graficos!$F$80:$F$84</c:f>
              <c:numCache>
                <c:formatCode>"R$ "#,##0.00</c:formatCode>
                <c:ptCount val="5"/>
                <c:pt idx="0">
                  <c:v>545</c:v>
                </c:pt>
                <c:pt idx="1">
                  <c:v>795.7</c:v>
                </c:pt>
                <c:pt idx="2">
                  <c:v>685.2</c:v>
                </c:pt>
                <c:pt idx="3">
                  <c:v>754</c:v>
                </c:pt>
                <c:pt idx="4">
                  <c:v>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0F-4F4B-8484-F8B01EAB1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&quot;R$ &quot;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rgbClr val="DCE1E6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Status dos Pedidos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34130759259259258"/>
          <c:y val="0.17771629629629626"/>
          <c:w val="0.34090351851851847"/>
          <c:h val="0.68180703703703693"/>
        </c:manualLayout>
      </c:layout>
      <c:pieChart>
        <c:varyColors val="1"/>
        <c:ser>
          <c:idx val="0"/>
          <c:order val="0"/>
          <c:tx>
            <c:strRef>
              <c:f>Dados_Graficos!$K$79</c:f>
              <c:strCache>
                <c:ptCount val="1"/>
                <c:pt idx="0">
                  <c:v>Qtd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2A594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EF0-4E77-BC8E-BDA3D9708B1E}"/>
              </c:ext>
            </c:extLst>
          </c:dPt>
          <c:dPt>
            <c:idx val="1"/>
            <c:bubble3D val="0"/>
            <c:spPr>
              <a:solidFill>
                <a:srgbClr val="E8A33D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EF0-4E77-BC8E-BDA3D9708B1E}"/>
              </c:ext>
            </c:extLst>
          </c:dPt>
          <c:dPt>
            <c:idx val="2"/>
            <c:bubble3D val="0"/>
            <c:spPr>
              <a:solidFill>
                <a:srgbClr val="3B82C4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EF0-4E77-BC8E-BDA3D9708B1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Dados_Graficos!$H$80:$H$82</c:f>
              <c:strCache>
                <c:ptCount val="3"/>
                <c:pt idx="0">
                  <c:v>✅ Concluídos</c:v>
                </c:pt>
                <c:pt idx="1">
                  <c:v>⏳ Pendentes</c:v>
                </c:pt>
                <c:pt idx="2">
                  <c:v>🔄 Processo</c:v>
                </c:pt>
              </c:strCache>
            </c:strRef>
          </c:cat>
          <c:val>
            <c:numRef>
              <c:f>Dados_Graficos!$K$80:$K$82</c:f>
              <c:numCache>
                <c:formatCode>General</c:formatCode>
                <c:ptCount val="3"/>
                <c:pt idx="0">
                  <c:v>11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F0-4E77-BC8E-BDA3D9708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 w="9525">
      <a:solidFill>
        <a:srgbClr val="DCE1E6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Participação no Lucro por Produto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225888888888892"/>
          <c:y val="0.16127777777777777"/>
          <c:w val="0.38575925925925925"/>
          <c:h val="0.77151851851851849"/>
        </c:manualLayout>
      </c:layout>
      <c:doughnutChart>
        <c:varyColors val="1"/>
        <c:ser>
          <c:idx val="0"/>
          <c:order val="0"/>
          <c:tx>
            <c:strRef>
              <c:f>Dados_Graficos!$K$66</c:f>
              <c:strCache>
                <c:ptCount val="1"/>
                <c:pt idx="0">
                  <c:v>Lucro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B2-4843-A873-A48506C9CB91}"/>
              </c:ext>
            </c:extLst>
          </c:dPt>
          <c:dPt>
            <c:idx val="1"/>
            <c:bubble3D val="0"/>
            <c:spPr>
              <a:solidFill>
                <a:schemeClr val="accent5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1B2-4843-A873-A48506C9CB91}"/>
              </c:ext>
            </c:extLst>
          </c:dPt>
          <c:dPt>
            <c:idx val="2"/>
            <c:bubble3D val="0"/>
            <c:spPr>
              <a:solidFill>
                <a:schemeClr val="accent5">
                  <a:shade val="7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1B2-4843-A873-A48506C9CB91}"/>
              </c:ext>
            </c:extLst>
          </c:dPt>
          <c:dPt>
            <c:idx val="3"/>
            <c:bubble3D val="0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1B2-4843-A873-A48506C9CB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1B2-4843-A873-A48506C9CB91}"/>
              </c:ext>
            </c:extLst>
          </c:dPt>
          <c:dPt>
            <c:idx val="5"/>
            <c:bubble3D val="0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1B2-4843-A873-A48506C9CB91}"/>
              </c:ext>
            </c:extLst>
          </c:dPt>
          <c:dPt>
            <c:idx val="6"/>
            <c:bubble3D val="0"/>
            <c:spPr>
              <a:solidFill>
                <a:schemeClr val="accent5">
                  <a:tint val="7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1B2-4843-A873-A48506C9CB91}"/>
              </c:ext>
            </c:extLst>
          </c:dPt>
          <c:dPt>
            <c:idx val="7"/>
            <c:bubble3D val="0"/>
            <c:spPr>
              <a:solidFill>
                <a:schemeClr val="accent5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1B2-4843-A873-A48506C9CB91}"/>
              </c:ext>
            </c:extLst>
          </c:dPt>
          <c:dPt>
            <c:idx val="8"/>
            <c:bubble3D val="0"/>
            <c:spPr>
              <a:solidFill>
                <a:schemeClr val="accent5">
                  <a:tint val="4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1B2-4843-A873-A48506C9CB91}"/>
              </c:ext>
            </c:extLst>
          </c:dPt>
          <c:dLbls>
            <c:spPr>
              <a:noFill/>
              <a:ln>
                <a:noFill/>
                <a:prstDash val="solid"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Dados_Graficos!$B$67:$B$75</c:f>
              <c:strCache>
                <c:ptCount val="9"/>
                <c:pt idx="0">
                  <c:v>Shampoo Antiqueda</c:v>
                </c:pt>
                <c:pt idx="1">
                  <c:v>Condicionador Nutritivo</c:v>
                </c:pt>
                <c:pt idx="2">
                  <c:v>Ampola de Reparação</c:v>
                </c:pt>
                <c:pt idx="3">
                  <c:v>Máscara de Hidratação</c:v>
                </c:pt>
                <c:pt idx="4">
                  <c:v>Óleo de Rícino</c:v>
                </c:pt>
                <c:pt idx="5">
                  <c:v>Creme de Pentear Hidratante</c:v>
                </c:pt>
                <c:pt idx="6">
                  <c:v>Shampoo Detox</c:v>
                </c:pt>
                <c:pt idx="7">
                  <c:v>Máscara de Nutrição Profunda</c:v>
                </c:pt>
                <c:pt idx="8">
                  <c:v>Leave-in Nutritivo</c:v>
                </c:pt>
              </c:strCache>
            </c:strRef>
          </c:cat>
          <c:val>
            <c:numRef>
              <c:f>Dados_Graficos!$K$67:$K$75</c:f>
              <c:numCache>
                <c:formatCode>"R$ "#,##0.00</c:formatCode>
                <c:ptCount val="9"/>
                <c:pt idx="0">
                  <c:v>-16.5</c:v>
                </c:pt>
                <c:pt idx="1">
                  <c:v>156</c:v>
                </c:pt>
                <c:pt idx="2">
                  <c:v>5</c:v>
                </c:pt>
                <c:pt idx="3">
                  <c:v>170</c:v>
                </c:pt>
                <c:pt idx="4">
                  <c:v>144</c:v>
                </c:pt>
                <c:pt idx="5">
                  <c:v>78</c:v>
                </c:pt>
                <c:pt idx="6">
                  <c:v>398</c:v>
                </c:pt>
                <c:pt idx="7">
                  <c:v>120</c:v>
                </c:pt>
                <c:pt idx="8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1B2-4843-A873-A48506C9C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rgbClr val="DCE1E6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Faturamento Mensal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657914764079148E-2"/>
          <c:y val="0.1435723514211886"/>
          <c:w val="0.946841704718417"/>
          <c:h val="0.7266381481481482"/>
        </c:manualLayout>
      </c:layout>
      <c:lineChart>
        <c:grouping val="standard"/>
        <c:varyColors val="1"/>
        <c:ser>
          <c:idx val="0"/>
          <c:order val="0"/>
          <c:tx>
            <c:strRef>
              <c:f>Dados_Graficos!$B$3</c:f>
              <c:strCache>
                <c:ptCount val="1"/>
                <c:pt idx="0">
                  <c:v>Faturamento (R$)</c:v>
                </c:pt>
              </c:strCache>
            </c:strRef>
          </c:tx>
          <c:spPr>
            <a:ln w="28000">
              <a:solidFill>
                <a:srgbClr val="3B82C4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3B82C4"/>
              </a:solidFill>
              <a:ln>
                <a:solidFill>
                  <a:srgbClr val="3B82C4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Dados_Graficos!$A$4:$A$7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Dados_Graficos!$B$4:$B$7</c:f>
              <c:numCache>
                <c:formatCode>"R$ "#,##0.00</c:formatCode>
                <c:ptCount val="4"/>
                <c:pt idx="0">
                  <c:v>3550.8999999999996</c:v>
                </c:pt>
                <c:pt idx="1">
                  <c:v>8328.2000000000007</c:v>
                </c:pt>
                <c:pt idx="2">
                  <c:v>6187.3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3B-44CF-B10B-0AE483787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6350">
              <a:solidFill>
                <a:srgbClr val="EAEDF0"/>
              </a:solidFill>
              <a:prstDash val="solid"/>
            </a:ln>
          </c:spPr>
        </c:majorGridlines>
        <c:numFmt formatCode="&quot;R$ &quot;#,##0.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CE1E6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por Produto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9523518518518516E-2"/>
          <c:y val="0.10665370370370371"/>
          <c:w val="0.61993425925925938"/>
          <c:h val="0.8482235142118863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Dados_Graficos!$G$66</c:f>
              <c:strCache>
                <c:ptCount val="1"/>
                <c:pt idx="0">
                  <c:v>Faturamento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6">
                  <a:tint val="4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DE-47EE-929F-0A0A5F877ABB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DE-47EE-929F-0A0A5F877ABB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>
                  <a:tint val="7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DE-47EE-929F-0A0A5F877ABB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6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1DE-47EE-929F-0A0A5F877ABB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1DE-47EE-929F-0A0A5F877ABB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1DE-47EE-929F-0A0A5F877ABB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6">
                  <a:shade val="7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1DE-47EE-929F-0A0A5F877ABB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6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1DE-47EE-929F-0A0A5F877ABB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6">
                  <a:shade val="4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1DE-47EE-929F-0A0A5F877ABB}"/>
              </c:ext>
            </c:extLst>
          </c:dPt>
          <c:dLbls>
            <c:spPr>
              <a:noFill/>
              <a:ln>
                <a:noFill/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Dados_Graficos!$B$67:$B$75</c:f>
              <c:strCache>
                <c:ptCount val="9"/>
                <c:pt idx="0">
                  <c:v>Shampoo Antiqueda</c:v>
                </c:pt>
                <c:pt idx="1">
                  <c:v>Condicionador Nutritivo</c:v>
                </c:pt>
                <c:pt idx="2">
                  <c:v>Ampola de Reparação</c:v>
                </c:pt>
                <c:pt idx="3">
                  <c:v>Máscara de Hidratação</c:v>
                </c:pt>
                <c:pt idx="4">
                  <c:v>Óleo de Rícino</c:v>
                </c:pt>
                <c:pt idx="5">
                  <c:v>Creme de Pentear Hidratante</c:v>
                </c:pt>
                <c:pt idx="6">
                  <c:v>Shampoo Detox</c:v>
                </c:pt>
                <c:pt idx="7">
                  <c:v>Máscara de Nutrição Profunda</c:v>
                </c:pt>
                <c:pt idx="8">
                  <c:v>Leave-in Nutritivo</c:v>
                </c:pt>
              </c:strCache>
            </c:strRef>
          </c:cat>
          <c:val>
            <c:numRef>
              <c:f>Dados_Graficos!$G$67:$G$75</c:f>
              <c:numCache>
                <c:formatCode>"R$ "#,##0.00</c:formatCode>
                <c:ptCount val="9"/>
                <c:pt idx="0">
                  <c:v>283.5</c:v>
                </c:pt>
                <c:pt idx="1">
                  <c:v>356</c:v>
                </c:pt>
                <c:pt idx="2">
                  <c:v>125</c:v>
                </c:pt>
                <c:pt idx="3">
                  <c:v>420</c:v>
                </c:pt>
                <c:pt idx="4">
                  <c:v>360</c:v>
                </c:pt>
                <c:pt idx="5">
                  <c:v>273</c:v>
                </c:pt>
                <c:pt idx="6">
                  <c:v>398</c:v>
                </c:pt>
                <c:pt idx="7">
                  <c:v>420</c:v>
                </c:pt>
                <c:pt idx="8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1DE-47EE-929F-0A0A5F877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>
          <c:spPr>
            <a:ln w="9525" cap="flat" cmpd="sng" algn="ctr">
              <a:prstDash val="solid"/>
              <a:round/>
            </a:ln>
            <a:effectLst/>
          </c:spPr>
        </c:majorGridlines>
        <c:numFmt formatCode="&quot;R$ &quot;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rgbClr val="DCE1E6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15</xdr:row>
      <xdr:rowOff>85725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101311</xdr:colOff>
      <xdr:row>2</xdr:row>
      <xdr:rowOff>63211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114300</xdr:colOff>
      <xdr:row>15</xdr:row>
      <xdr:rowOff>57150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22</xdr:col>
      <xdr:colOff>361950</xdr:colOff>
      <xdr:row>2</xdr:row>
      <xdr:rowOff>76200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22</xdr:col>
      <xdr:colOff>333375</xdr:colOff>
      <xdr:row>15</xdr:row>
      <xdr:rowOff>57150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  <pageSetUpPr fitToPage="1"/>
  </sheetPr>
  <dimension ref="B1:AF86"/>
  <sheetViews>
    <sheetView showGridLines="0" tabSelected="1" zoomScaleNormal="100" workbookViewId="0">
      <selection activeCell="L31" sqref="L31"/>
    </sheetView>
  </sheetViews>
  <sheetFormatPr defaultColWidth="8.7109375" defaultRowHeight="15" x14ac:dyDescent="0.25"/>
  <cols>
    <col min="1" max="1" width="3.28515625" customWidth="1"/>
    <col min="2" max="2" width="1.5703125" customWidth="1"/>
    <col min="3" max="3" width="9.5703125" customWidth="1"/>
    <col min="4" max="4" width="14.28515625" customWidth="1"/>
    <col min="5" max="5" width="6" customWidth="1"/>
    <col min="6" max="6" width="9.5703125" customWidth="1"/>
    <col min="7" max="7" width="16" customWidth="1"/>
    <col min="8" max="8" width="1.28515625" customWidth="1"/>
    <col min="9" max="9" width="4" customWidth="1"/>
    <col min="10" max="10" width="18.85546875" customWidth="1"/>
    <col min="11" max="14" width="11" customWidth="1"/>
    <col min="15" max="15" width="18.28515625" customWidth="1"/>
    <col min="17" max="21" width="0.140625" customWidth="1"/>
  </cols>
  <sheetData>
    <row r="1" spans="2:32" ht="36" customHeight="1" x14ac:dyDescent="0.25">
      <c r="B1" s="88" t="s">
        <v>224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</row>
    <row r="2" spans="2:32" ht="15.75" customHeight="1" x14ac:dyDescent="0.25"/>
    <row r="3" spans="2:32" ht="24" customHeight="1" x14ac:dyDescent="0.25">
      <c r="B3" s="117" t="s">
        <v>0</v>
      </c>
      <c r="C3" s="118"/>
      <c r="D3" s="118"/>
      <c r="E3" s="121" t="s">
        <v>1</v>
      </c>
      <c r="F3" s="121"/>
      <c r="G3" s="58" t="s">
        <v>2</v>
      </c>
      <c r="H3" s="58"/>
      <c r="I3" s="58"/>
      <c r="J3" s="58"/>
    </row>
    <row r="4" spans="2:32" ht="24" customHeight="1" x14ac:dyDescent="0.25">
      <c r="H4" s="54"/>
    </row>
    <row r="5" spans="2:32" ht="6" customHeight="1" x14ac:dyDescent="0.25">
      <c r="B5" s="96"/>
      <c r="C5" s="96"/>
      <c r="D5" s="94"/>
      <c r="E5" s="94"/>
      <c r="F5" s="94"/>
      <c r="G5" s="94"/>
      <c r="H5" s="94"/>
    </row>
    <row r="6" spans="2:32" ht="21.75" customHeight="1" x14ac:dyDescent="0.25">
      <c r="B6" s="96"/>
      <c r="C6" s="105" t="s">
        <v>233</v>
      </c>
      <c r="D6" s="106" t="s">
        <v>232</v>
      </c>
      <c r="E6" s="95"/>
      <c r="F6" s="101" t="s">
        <v>230</v>
      </c>
      <c r="G6" s="102" t="s">
        <v>57</v>
      </c>
      <c r="H6" s="94"/>
    </row>
    <row r="7" spans="2:32" ht="21.75" customHeight="1" x14ac:dyDescent="0.25">
      <c r="B7" s="94"/>
      <c r="C7" s="107"/>
      <c r="D7" s="108">
        <f>SUMIF(Despesas_DB!C4:C99,$E$3,Despesas_DB!H4:H99)</f>
        <v>1943</v>
      </c>
      <c r="E7" s="95"/>
      <c r="F7" s="103"/>
      <c r="G7" s="104">
        <f>IFERROR(D13/J10,0)</f>
        <v>0.4528147793517136</v>
      </c>
      <c r="H7" s="94"/>
    </row>
    <row r="8" spans="2:32" ht="6" customHeight="1" x14ac:dyDescent="0.25">
      <c r="B8" s="94"/>
      <c r="C8" s="94"/>
      <c r="D8" s="94"/>
      <c r="E8" s="94"/>
      <c r="F8" s="94"/>
      <c r="G8" s="94"/>
      <c r="H8" s="94"/>
    </row>
    <row r="9" spans="2:32" ht="21.75" customHeight="1" x14ac:dyDescent="0.25">
      <c r="B9" s="94"/>
      <c r="C9" s="90" t="s">
        <v>225</v>
      </c>
      <c r="D9" s="91" t="s">
        <v>226</v>
      </c>
      <c r="E9" s="95"/>
      <c r="F9" s="113" t="s">
        <v>229</v>
      </c>
      <c r="G9" s="114" t="s">
        <v>228</v>
      </c>
      <c r="H9" s="94"/>
      <c r="J9" s="120" t="s">
        <v>3</v>
      </c>
    </row>
    <row r="10" spans="2:32" ht="21.75" customHeight="1" x14ac:dyDescent="0.25">
      <c r="B10" s="94"/>
      <c r="C10" s="92"/>
      <c r="D10" s="93">
        <f>COUNTIF(Pedidos_DB!C4:C110,$E$3)</f>
        <v>11</v>
      </c>
      <c r="E10" s="95"/>
      <c r="F10" s="115"/>
      <c r="G10" s="116">
        <f>IFERROR(J10/D10,0)</f>
        <v>322.80909090909086</v>
      </c>
      <c r="H10" s="94"/>
      <c r="J10" s="119">
        <f>SUMIF(Pedidos_DB!C4:C110,$E$3,Pedidos_DB!G4:G110)</f>
        <v>3550.8999999999996</v>
      </c>
    </row>
    <row r="11" spans="2:32" ht="8.25" customHeight="1" x14ac:dyDescent="0.25">
      <c r="B11" s="94"/>
      <c r="C11" s="94"/>
      <c r="D11" s="94"/>
      <c r="E11" s="94"/>
      <c r="F11" s="94"/>
      <c r="G11" s="94"/>
      <c r="H11" s="94"/>
    </row>
    <row r="12" spans="2:32" ht="21.75" customHeight="1" x14ac:dyDescent="0.25">
      <c r="B12" s="94"/>
      <c r="C12" s="97" t="s">
        <v>231</v>
      </c>
      <c r="D12" s="98" t="s">
        <v>56</v>
      </c>
      <c r="E12" s="95"/>
      <c r="F12" s="109" t="s">
        <v>227</v>
      </c>
      <c r="G12" s="110" t="s">
        <v>12</v>
      </c>
      <c r="H12" s="94"/>
    </row>
    <row r="13" spans="2:32" ht="21.75" customHeight="1" x14ac:dyDescent="0.25">
      <c r="B13" s="94"/>
      <c r="C13" s="99"/>
      <c r="D13" s="100">
        <f>J10-D7</f>
        <v>1607.8999999999996</v>
      </c>
      <c r="E13" s="95"/>
      <c r="F13" s="111"/>
      <c r="G13" s="112">
        <f>SUMPRODUCT((Pedidos_DB!C4:C110=$E$3)*(LOWER(Pedidos_DB!H4:H110)="concluído"))</f>
        <v>11</v>
      </c>
      <c r="H13" s="94"/>
    </row>
    <row r="14" spans="2:32" ht="6" customHeight="1" x14ac:dyDescent="0.25">
      <c r="B14" s="94"/>
      <c r="C14" s="94"/>
      <c r="D14" s="94"/>
      <c r="E14" s="94"/>
      <c r="F14" s="94"/>
      <c r="G14" s="94"/>
      <c r="H14" s="94"/>
    </row>
    <row r="17" spans="6:18" ht="15" customHeight="1" x14ac:dyDescent="0.25">
      <c r="F17" s="89"/>
    </row>
    <row r="18" spans="6:18" ht="15" customHeight="1" x14ac:dyDescent="0.25">
      <c r="R18" s="9"/>
    </row>
    <row r="19" spans="6:18" ht="15" customHeight="1" x14ac:dyDescent="0.25">
      <c r="R19" s="9"/>
    </row>
    <row r="20" spans="6:18" ht="15" customHeight="1" x14ac:dyDescent="0.25">
      <c r="R20" s="9"/>
    </row>
    <row r="21" spans="6:18" ht="15" customHeight="1" x14ac:dyDescent="0.25">
      <c r="Q21">
        <f>C49</f>
        <v>0</v>
      </c>
      <c r="R21" s="9">
        <f>G49</f>
        <v>0</v>
      </c>
    </row>
    <row r="22" spans="6:18" ht="15" customHeight="1" x14ac:dyDescent="0.25">
      <c r="Q22">
        <f>C50</f>
        <v>0</v>
      </c>
      <c r="R22" s="9">
        <f>G50</f>
        <v>0</v>
      </c>
    </row>
    <row r="31" spans="6:18" ht="19.5" customHeight="1" x14ac:dyDescent="0.25"/>
    <row r="32" spans="6:18" ht="18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63" spans="3:15" x14ac:dyDescent="0.25"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</row>
    <row r="64" spans="3:15" ht="20.100000000000001" customHeight="1" x14ac:dyDescent="0.25">
      <c r="C64" s="60" t="s">
        <v>13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</row>
    <row r="65" spans="3:15" x14ac:dyDescent="0.25"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</row>
    <row r="66" spans="3:15" x14ac:dyDescent="0.25"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</row>
    <row r="67" spans="3:15" x14ac:dyDescent="0.25"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</row>
    <row r="68" spans="3:15" x14ac:dyDescent="0.25"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</row>
    <row r="69" spans="3:15" x14ac:dyDescent="0.25"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</row>
    <row r="70" spans="3:15" x14ac:dyDescent="0.25"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</row>
    <row r="71" spans="3:15" x14ac:dyDescent="0.25"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3:15" x14ac:dyDescent="0.25"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</row>
    <row r="73" spans="3:15" x14ac:dyDescent="0.25"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</row>
    <row r="74" spans="3:15" x14ac:dyDescent="0.25"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</row>
    <row r="75" spans="3:15" x14ac:dyDescent="0.25"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</row>
    <row r="76" spans="3:15" x14ac:dyDescent="0.25"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</row>
    <row r="77" spans="3:15" x14ac:dyDescent="0.25"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</row>
    <row r="78" spans="3:15" x14ac:dyDescent="0.25"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</row>
    <row r="79" spans="3:15" x14ac:dyDescent="0.25"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</row>
    <row r="80" spans="3:15" x14ac:dyDescent="0.25"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</row>
    <row r="81" spans="3:15" x14ac:dyDescent="0.25"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</row>
    <row r="82" spans="3:15" x14ac:dyDescent="0.25"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</row>
    <row r="83" spans="3:15" x14ac:dyDescent="0.25"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</row>
    <row r="84" spans="3:15" x14ac:dyDescent="0.25"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</row>
    <row r="85" spans="3:15" ht="20.100000000000001" customHeight="1" x14ac:dyDescent="0.25"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</row>
    <row r="86" spans="3:15" x14ac:dyDescent="0.25"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</row>
  </sheetData>
  <mergeCells count="11">
    <mergeCell ref="C9:C10"/>
    <mergeCell ref="C12:C13"/>
    <mergeCell ref="F9:F10"/>
    <mergeCell ref="F6:F7"/>
    <mergeCell ref="F12:F13"/>
    <mergeCell ref="C6:C7"/>
    <mergeCell ref="B1:AF1"/>
    <mergeCell ref="B3:D3"/>
    <mergeCell ref="E3:F3"/>
    <mergeCell ref="C64:O64"/>
    <mergeCell ref="G3:J3"/>
  </mergeCells>
  <dataValidations count="1">
    <dataValidation type="list" sqref="E3" xr:uid="{00000000-0002-0000-0000-000000000000}">
      <formula1>"Janeiro,Fevereiro,Março,Abril,Maio,Junho,Julho,Agosto,Setembro,Outubro,Novembro,Dezembro"</formula1>
      <formula2>0</formula2>
    </dataValidation>
  </dataValidations>
  <printOptions horizontalCentered="1"/>
  <pageMargins left="0.35" right="0.35" top="0.4" bottom="0.4" header="0.2" footer="0.2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B1:L35"/>
  <sheetViews>
    <sheetView showGridLines="0" zoomScaleNormal="100" workbookViewId="0">
      <selection activeCell="G14" sqref="G14"/>
    </sheetView>
  </sheetViews>
  <sheetFormatPr defaultColWidth="8.7109375" defaultRowHeight="15" x14ac:dyDescent="0.25"/>
  <cols>
    <col min="1" max="1" width="1.5703125" customWidth="1"/>
    <col min="2" max="2" width="14" customWidth="1"/>
    <col min="3" max="3" width="13" customWidth="1"/>
    <col min="4" max="4" width="27" customWidth="1"/>
    <col min="5" max="5" width="24.85546875" bestFit="1" customWidth="1"/>
    <col min="6" max="6" width="11.28515625" customWidth="1"/>
    <col min="7" max="7" width="10.85546875" customWidth="1"/>
    <col min="8" max="8" width="11" customWidth="1"/>
    <col min="9" max="9" width="2" customWidth="1"/>
    <col min="10" max="10" width="18" customWidth="1"/>
    <col min="11" max="12" width="14" customWidth="1"/>
  </cols>
  <sheetData>
    <row r="1" spans="2:12" ht="31.5" customHeight="1" x14ac:dyDescent="0.25">
      <c r="B1" s="63" t="s">
        <v>14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ht="24" customHeight="1" x14ac:dyDescent="0.25">
      <c r="B2" s="64" t="s">
        <v>0</v>
      </c>
      <c r="C2" s="59"/>
      <c r="D2" s="121" t="s">
        <v>1</v>
      </c>
      <c r="E2" s="122"/>
      <c r="F2" s="122"/>
      <c r="G2" s="58" t="s">
        <v>2</v>
      </c>
      <c r="H2" s="59"/>
      <c r="I2" s="59"/>
      <c r="J2" s="59"/>
    </row>
    <row r="3" spans="2:12" ht="6" customHeight="1" x14ac:dyDescent="0.25"/>
    <row r="4" spans="2:12" ht="19.5" customHeight="1" x14ac:dyDescent="0.25">
      <c r="B4" s="157" t="s">
        <v>3</v>
      </c>
      <c r="C4" s="135"/>
      <c r="D4" s="159" t="s">
        <v>6</v>
      </c>
      <c r="E4" s="129"/>
      <c r="F4" s="161" t="s">
        <v>7</v>
      </c>
      <c r="G4" s="153"/>
      <c r="H4" s="163" t="s">
        <v>15</v>
      </c>
      <c r="I4" s="164"/>
      <c r="J4" s="166" t="s">
        <v>16</v>
      </c>
      <c r="K4" s="168" t="s">
        <v>17</v>
      </c>
      <c r="L4" s="169"/>
    </row>
    <row r="5" spans="2:12" ht="30" customHeight="1" x14ac:dyDescent="0.25">
      <c r="B5" s="62">
        <f>SUMIF(Pedidos_DB!C4:C110,$D$2,Pedidos_DB!G4:G110)</f>
        <v>3550.8999999999996</v>
      </c>
      <c r="C5" s="59"/>
      <c r="D5" s="66">
        <f>COUNTIF(Pedidos_DB!C4:C110,$D$2)</f>
        <v>11</v>
      </c>
      <c r="E5" s="59"/>
      <c r="F5" s="66">
        <f>SUMPRODUCT((Pedidos_DB!C4:C110=$D$2)*(LOWER(Pedidos_DB!H4:H110)="concluído"))</f>
        <v>11</v>
      </c>
      <c r="G5" s="59"/>
      <c r="H5" s="66">
        <f>SUMPRODUCT((Pedidos_DB!C4:C110=$D$2)*(LOWER(Pedidos_DB!H4:H110)="pendente"))</f>
        <v>0</v>
      </c>
      <c r="I5" s="59"/>
      <c r="J5" s="56">
        <f>IFERROR(B5/D5,0)</f>
        <v>322.80909090909086</v>
      </c>
      <c r="K5" s="66">
        <f>SUMPRODUCT((Pedidos_DB!C4:C110=$D$2)*(LOWER(Pedidos_DB!H4:H110)="processo"))</f>
        <v>0</v>
      </c>
      <c r="L5" s="59"/>
    </row>
    <row r="6" spans="2:12" ht="19.5" customHeight="1" x14ac:dyDescent="0.25">
      <c r="B6" s="158"/>
      <c r="C6" s="135"/>
      <c r="D6" s="160"/>
      <c r="E6" s="129"/>
      <c r="F6" s="162"/>
      <c r="G6" s="153"/>
      <c r="H6" s="165"/>
      <c r="I6" s="164"/>
      <c r="J6" s="167"/>
      <c r="K6" s="170"/>
      <c r="L6" s="169"/>
    </row>
    <row r="7" spans="2:12" ht="6" customHeight="1" x14ac:dyDescent="0.25"/>
    <row r="8" spans="2:12" ht="19.5" customHeight="1" x14ac:dyDescent="0.25">
      <c r="B8" s="67" t="s">
        <v>18</v>
      </c>
      <c r="C8" s="59"/>
      <c r="D8" s="59"/>
      <c r="E8" s="59"/>
      <c r="F8" s="59"/>
      <c r="G8" s="59"/>
      <c r="H8" s="59"/>
      <c r="J8" s="55" t="s">
        <v>24</v>
      </c>
      <c r="K8" s="55"/>
      <c r="L8" s="55"/>
    </row>
    <row r="9" spans="2:12" ht="18" customHeight="1" x14ac:dyDescent="0.25">
      <c r="B9" s="2" t="s">
        <v>19</v>
      </c>
      <c r="C9" s="2" t="s">
        <v>20</v>
      </c>
      <c r="D9" s="2" t="s">
        <v>21</v>
      </c>
      <c r="E9" s="2" t="s">
        <v>22</v>
      </c>
      <c r="F9" s="2" t="s">
        <v>11</v>
      </c>
      <c r="G9" s="2" t="s">
        <v>23</v>
      </c>
      <c r="H9" s="2" t="s">
        <v>10</v>
      </c>
      <c r="J9" s="2" t="s">
        <v>8</v>
      </c>
      <c r="K9" s="2"/>
      <c r="L9" s="2" t="s">
        <v>23</v>
      </c>
    </row>
    <row r="10" spans="2:12" ht="13.5" customHeight="1" x14ac:dyDescent="0.25">
      <c r="B10" s="16" t="str">
        <f>IFERROR(IF(INDEX(Pedidos_DB!C:C,3+MATCH($D$2,Pedidos_DB!C4:C110,0)+0)&lt;&gt;$D$2,"",INDEX(Pedidos_DB!B:B,3+MATCH($D$2,Pedidos_DB!C4:C110,0)+0)),"")</f>
        <v>2024-09-03</v>
      </c>
      <c r="C10" s="16" t="str">
        <f>IFERROR(IF(INDEX(Pedidos_DB!C:C,3+MATCH($D$2,Pedidos_DB!C4:C110,0)+0)&lt;&gt;$D$2,"",INDEX(Pedidos_DB!C:C,3+MATCH($D$2,Pedidos_DB!C4:C110,0)+0)),"")</f>
        <v>Setembro</v>
      </c>
      <c r="D10" s="17" t="str">
        <f>IFERROR(IF(INDEX(Pedidos_DB!C:C,3+MATCH($D$2,Pedidos_DB!C4:C110,0)+0)&lt;&gt;$D$2,"",INDEX(Pedidos_DB!D:D,3+MATCH($D$2,Pedidos_DB!C4:C110,0)+0)),"")</f>
        <v>Salão Glamour</v>
      </c>
      <c r="E10" s="17" t="str">
        <f>IFERROR(IF(INDEX(Pedidos_DB!C:C,3+MATCH($D$2,Pedidos_DB!C4:C110,0)+0)&lt;&gt;$D$2,"",INDEX(Pedidos_DB!E:E,3+MATCH($D$2,Pedidos_DB!C4:C110,0)+0)),"")</f>
        <v>Shampoo Antiqueda</v>
      </c>
      <c r="F10" s="16">
        <f>IFERROR(IF(INDEX(Pedidos_DB!C:C,3+MATCH($D$2,Pedidos_DB!C4:C110,0)+0)&lt;&gt;$D$2,"",INDEX(Pedidos_DB!F:F,3+MATCH($D$2,Pedidos_DB!C4:C110,0)+0)),"")</f>
        <v>15</v>
      </c>
      <c r="G10" s="5">
        <f>IFERROR(IF(INDEX(Pedidos_DB!C:C,3+MATCH($D$2,Pedidos_DB!C4:C110,0)+0)&lt;&gt;$D$2,"",INDEX(Pedidos_DB!G:G,3+MATCH($D$2,Pedidos_DB!C4:C110,0)+0)),"")</f>
        <v>283.5</v>
      </c>
      <c r="H10" s="16" t="str">
        <f>IFERROR(IF(INDEX(Pedidos_DB!C:C,3+MATCH($D$2,Pedidos_DB!C4:C110,0)+0)&lt;&gt;$D$2,"",INDEX(Pedidos_DB!H:H,3+MATCH($D$2,Pedidos_DB!C4:C110,0)+0)),"")</f>
        <v>concluído</v>
      </c>
      <c r="J10" s="3" t="s">
        <v>25</v>
      </c>
      <c r="K10" s="3"/>
      <c r="L10" s="4">
        <f>SUMPRODUCT((Pedidos_DB!C4:C110=$D$2)*(Pedidos_DB!D4:D110=J10)*Pedidos_DB!G4:G110)</f>
        <v>545</v>
      </c>
    </row>
    <row r="11" spans="2:12" ht="13.5" customHeight="1" x14ac:dyDescent="0.25">
      <c r="B11" s="15" t="str">
        <f>IFERROR(IF(INDEX(Pedidos_DB!C:C,3+MATCH($D$2,Pedidos_DB!C4:C110,0)+1)&lt;&gt;$D$2,"",INDEX(Pedidos_DB!B:B,3+MATCH($D$2,Pedidos_DB!C4:C110,0)+1)),"")</f>
        <v>2024-09-05</v>
      </c>
      <c r="C11" s="15" t="str">
        <f>IFERROR(IF(INDEX(Pedidos_DB!C:C,3+MATCH($D$2,Pedidos_DB!C4:C110,0)+1)&lt;&gt;$D$2,"",INDEX(Pedidos_DB!C:C,3+MATCH($D$2,Pedidos_DB!C4:C110,0)+1)),"")</f>
        <v>Setembro</v>
      </c>
      <c r="D11" s="18" t="str">
        <f>IFERROR(IF(INDEX(Pedidos_DB!C:C,3+MATCH($D$2,Pedidos_DB!C4:C110,0)+1)&lt;&gt;$D$2,"",INDEX(Pedidos_DB!D:D,3+MATCH($D$2,Pedidos_DB!C4:C110,0)+1)),"")</f>
        <v>Salão Cabelos de Ouro</v>
      </c>
      <c r="E11" s="18" t="str">
        <f>IFERROR(IF(INDEX(Pedidos_DB!C:C,3+MATCH($D$2,Pedidos_DB!C4:C110,0)+1)&lt;&gt;$D$2,"",INDEX(Pedidos_DB!E:E,3+MATCH($D$2,Pedidos_DB!C4:C110,0)+1)),"")</f>
        <v>Condicionador Nutritivo</v>
      </c>
      <c r="F11" s="15">
        <f>IFERROR(IF(INDEX(Pedidos_DB!C:C,3+MATCH($D$2,Pedidos_DB!C4:C110,0)+1)&lt;&gt;$D$2,"",INDEX(Pedidos_DB!F:F,3+MATCH($D$2,Pedidos_DB!C4:C110,0)+1)),"")</f>
        <v>20</v>
      </c>
      <c r="G11" s="8">
        <f>IFERROR(IF(INDEX(Pedidos_DB!C:C,3+MATCH($D$2,Pedidos_DB!C4:C110,0)+1)&lt;&gt;$D$2,"",INDEX(Pedidos_DB!G:G,3+MATCH($D$2,Pedidos_DB!C4:C110,0)+1)),"")</f>
        <v>356</v>
      </c>
      <c r="H11" s="15" t="str">
        <f>IFERROR(IF(INDEX(Pedidos_DB!C:C,3+MATCH($D$2,Pedidos_DB!C4:C110,0)+1)&lt;&gt;$D$2,"",INDEX(Pedidos_DB!H:H,3+MATCH($D$2,Pedidos_DB!C4:C110,0)+1)),"")</f>
        <v>concluído</v>
      </c>
      <c r="J11" s="6" t="s">
        <v>26</v>
      </c>
      <c r="K11" s="6"/>
      <c r="L11" s="7">
        <f>SUMPRODUCT((Pedidos_DB!C4:C110=$D$2)*(Pedidos_DB!D4:D110=J11)*Pedidos_DB!G4:G110)</f>
        <v>795.7</v>
      </c>
    </row>
    <row r="12" spans="2:12" ht="13.5" customHeight="1" x14ac:dyDescent="0.25">
      <c r="B12" s="16" t="str">
        <f>IFERROR(IF(INDEX(Pedidos_DB!C:C,3+MATCH($D$2,Pedidos_DB!C4:C110,0)+2)&lt;&gt;$D$2,"",INDEX(Pedidos_DB!B:B,3+MATCH($D$2,Pedidos_DB!C4:C110,0)+2)),"")</f>
        <v>2024-09-08</v>
      </c>
      <c r="C12" s="16" t="str">
        <f>IFERROR(IF(INDEX(Pedidos_DB!C:C,3+MATCH($D$2,Pedidos_DB!C4:C110,0)+2)&lt;&gt;$D$2,"",INDEX(Pedidos_DB!C:C,3+MATCH($D$2,Pedidos_DB!C4:C110,0)+2)),"")</f>
        <v>Setembro</v>
      </c>
      <c r="D12" s="17" t="str">
        <f>IFERROR(IF(INDEX(Pedidos_DB!C:C,3+MATCH($D$2,Pedidos_DB!C4:C110,0)+2)&lt;&gt;$D$2,"",INDEX(Pedidos_DB!D:D,3+MATCH($D$2,Pedidos_DB!C4:C110,0)+2)),"")</f>
        <v>Salão Beleza &amp; Cia</v>
      </c>
      <c r="E12" s="17" t="str">
        <f>IFERROR(IF(INDEX(Pedidos_DB!C:C,3+MATCH($D$2,Pedidos_DB!C4:C110,0)+2)&lt;&gt;$D$2,"",INDEX(Pedidos_DB!E:E,3+MATCH($D$2,Pedidos_DB!C4:C110,0)+2)),"")</f>
        <v>Ampola de Reparação</v>
      </c>
      <c r="F12" s="16">
        <f>IFERROR(IF(INDEX(Pedidos_DB!C:C,3+MATCH($D$2,Pedidos_DB!C4:C110,0)+2)&lt;&gt;$D$2,"",INDEX(Pedidos_DB!F:F,3+MATCH($D$2,Pedidos_DB!C4:C110,0)+2)),"")</f>
        <v>10</v>
      </c>
      <c r="G12" s="5">
        <f>IFERROR(IF(INDEX(Pedidos_DB!C:C,3+MATCH($D$2,Pedidos_DB!C4:C110,0)+2)&lt;&gt;$D$2,"",INDEX(Pedidos_DB!G:G,3+MATCH($D$2,Pedidos_DB!C4:C110,0)+2)),"")</f>
        <v>125</v>
      </c>
      <c r="H12" s="16" t="str">
        <f>IFERROR(IF(INDEX(Pedidos_DB!C:C,3+MATCH($D$2,Pedidos_DB!C4:C110,0)+2)&lt;&gt;$D$2,"",INDEX(Pedidos_DB!H:H,3+MATCH($D$2,Pedidos_DB!C4:C110,0)+2)),"")</f>
        <v>concluído</v>
      </c>
      <c r="J12" s="3" t="s">
        <v>27</v>
      </c>
      <c r="K12" s="3"/>
      <c r="L12" s="4">
        <f>SUMPRODUCT((Pedidos_DB!C4:C110=$D$2)*(Pedidos_DB!D4:D110=J12)*Pedidos_DB!G4:G110)</f>
        <v>685.2</v>
      </c>
    </row>
    <row r="13" spans="2:12" ht="13.5" customHeight="1" x14ac:dyDescent="0.25">
      <c r="B13" s="15" t="str">
        <f>IFERROR(IF(INDEX(Pedidos_DB!C:C,3+MATCH($D$2,Pedidos_DB!C4:C110,0)+3)&lt;&gt;$D$2,"",INDEX(Pedidos_DB!B:B,3+MATCH($D$2,Pedidos_DB!C4:C110,0)+3)),"")</f>
        <v>2024-09-10</v>
      </c>
      <c r="C13" s="15" t="str">
        <f>IFERROR(IF(INDEX(Pedidos_DB!C:C,3+MATCH($D$2,Pedidos_DB!C4:C110,0)+3)&lt;&gt;$D$2,"",INDEX(Pedidos_DB!C:C,3+MATCH($D$2,Pedidos_DB!C4:C110,0)+3)),"")</f>
        <v>Setembro</v>
      </c>
      <c r="D13" s="18" t="str">
        <f>IFERROR(IF(INDEX(Pedidos_DB!C:C,3+MATCH($D$2,Pedidos_DB!C4:C110,0)+3)&lt;&gt;$D$2,"",INDEX(Pedidos_DB!D:D,3+MATCH($D$2,Pedidos_DB!C4:C110,0)+3)),"")</f>
        <v>Salão Bella Cabelos</v>
      </c>
      <c r="E13" s="18" t="str">
        <f>IFERROR(IF(INDEX(Pedidos_DB!C:C,3+MATCH($D$2,Pedidos_DB!C4:C110,0)+3)&lt;&gt;$D$2,"",INDEX(Pedidos_DB!E:E,3+MATCH($D$2,Pedidos_DB!C4:C110,0)+3)),"")</f>
        <v>Máscara de Hidratação</v>
      </c>
      <c r="F13" s="15">
        <f>IFERROR(IF(INDEX(Pedidos_DB!C:C,3+MATCH($D$2,Pedidos_DB!C4:C110,0)+3)&lt;&gt;$D$2,"",INDEX(Pedidos_DB!F:F,3+MATCH($D$2,Pedidos_DB!C4:C110,0)+3)),"")</f>
        <v>12</v>
      </c>
      <c r="G13" s="8">
        <f>IFERROR(IF(INDEX(Pedidos_DB!C:C,3+MATCH($D$2,Pedidos_DB!C4:C110,0)+3)&lt;&gt;$D$2,"",INDEX(Pedidos_DB!G:G,3+MATCH($D$2,Pedidos_DB!C4:C110,0)+3)),"")</f>
        <v>420</v>
      </c>
      <c r="H13" s="15" t="str">
        <f>IFERROR(IF(INDEX(Pedidos_DB!C:C,3+MATCH($D$2,Pedidos_DB!C4:C110,0)+3)&lt;&gt;$D$2,"",INDEX(Pedidos_DB!H:H,3+MATCH($D$2,Pedidos_DB!C4:C110,0)+3)),"")</f>
        <v>concluído</v>
      </c>
      <c r="J13" s="68" t="s">
        <v>28</v>
      </c>
      <c r="K13" s="59"/>
      <c r="L13" s="7">
        <f>SUMPRODUCT((Pedidos_DB!C4:C110=$D$2)*(Pedidos_DB!D4:D110=J13)*Pedidos_DB!G4:G110)</f>
        <v>754</v>
      </c>
    </row>
    <row r="14" spans="2:12" ht="13.5" customHeight="1" x14ac:dyDescent="0.25">
      <c r="B14" s="16" t="str">
        <f>IFERROR(IF(INDEX(Pedidos_DB!C:C,3+MATCH($D$2,Pedidos_DB!C4:C110,0)+4)&lt;&gt;$D$2,"",INDEX(Pedidos_DB!B:B,3+MATCH($D$2,Pedidos_DB!C4:C110,0)+4)),"")</f>
        <v>2024-09-12</v>
      </c>
      <c r="C14" s="16" t="str">
        <f>IFERROR(IF(INDEX(Pedidos_DB!C:C,3+MATCH($D$2,Pedidos_DB!C4:C110,0)+4)&lt;&gt;$D$2,"",INDEX(Pedidos_DB!C:C,3+MATCH($D$2,Pedidos_DB!C4:C110,0)+4)),"")</f>
        <v>Setembro</v>
      </c>
      <c r="D14" s="17" t="str">
        <f>IFERROR(IF(INDEX(Pedidos_DB!C:C,3+MATCH($D$2,Pedidos_DB!C4:C110,0)+4)&lt;&gt;$D$2,"",INDEX(Pedidos_DB!D:D,3+MATCH($D$2,Pedidos_DB!C4:C110,0)+4)),"")</f>
        <v>Salão Luxo Capilar</v>
      </c>
      <c r="E14" s="17" t="str">
        <f>IFERROR(IF(INDEX(Pedidos_DB!C:C,3+MATCH($D$2,Pedidos_DB!C4:C110,0)+4)&lt;&gt;$D$2,"",INDEX(Pedidos_DB!E:E,3+MATCH($D$2,Pedidos_DB!C4:C110,0)+4)),"")</f>
        <v>Óleo de Rícino</v>
      </c>
      <c r="F14" s="16">
        <f>IFERROR(IF(INDEX(Pedidos_DB!C:C,3+MATCH($D$2,Pedidos_DB!C4:C110,0)+4)&lt;&gt;$D$2,"",INDEX(Pedidos_DB!F:F,3+MATCH($D$2,Pedidos_DB!C4:C110,0)+4)),"")</f>
        <v>18</v>
      </c>
      <c r="G14" s="5">
        <f>IFERROR(IF(INDEX(Pedidos_DB!C:C,3+MATCH($D$2,Pedidos_DB!C4:C110,0)+4)&lt;&gt;$D$2,"",INDEX(Pedidos_DB!G:G,3+MATCH($D$2,Pedidos_DB!C4:C110,0)+4)),"")</f>
        <v>360</v>
      </c>
      <c r="H14" s="16" t="str">
        <f>IFERROR(IF(INDEX(Pedidos_DB!C:C,3+MATCH($D$2,Pedidos_DB!C4:C110,0)+4)&lt;&gt;$D$2,"",INDEX(Pedidos_DB!H:H,3+MATCH($D$2,Pedidos_DB!C4:C110,0)+4)),"")</f>
        <v>concluído</v>
      </c>
      <c r="J14" s="65" t="s">
        <v>29</v>
      </c>
      <c r="K14" s="59"/>
      <c r="L14" s="4">
        <f>SUMPRODUCT((Pedidos_DB!C4:C110=$D$2)*(Pedidos_DB!D4:D110=J14)*Pedidos_DB!G4:G110)</f>
        <v>771</v>
      </c>
    </row>
    <row r="15" spans="2:12" ht="13.5" customHeight="1" x14ac:dyDescent="0.25">
      <c r="B15" s="15" t="str">
        <f>IFERROR(IF(INDEX(Pedidos_DB!C:C,3+MATCH($D$2,Pedidos_DB!C4:C110,0)+5)&lt;&gt;$D$2,"",INDEX(Pedidos_DB!B:B,3+MATCH($D$2,Pedidos_DB!C4:C110,0)+5)),"")</f>
        <v>2024-09-15</v>
      </c>
      <c r="C15" s="15" t="str">
        <f>IFERROR(IF(INDEX(Pedidos_DB!C:C,3+MATCH($D$2,Pedidos_DB!C4:C110,0)+5)&lt;&gt;$D$2,"",INDEX(Pedidos_DB!C:C,3+MATCH($D$2,Pedidos_DB!C4:C110,0)+5)),"")</f>
        <v>Setembro</v>
      </c>
      <c r="D15" s="18" t="str">
        <f>IFERROR(IF(INDEX(Pedidos_DB!C:C,3+MATCH($D$2,Pedidos_DB!C4:C110,0)+5)&lt;&gt;$D$2,"",INDEX(Pedidos_DB!D:D,3+MATCH($D$2,Pedidos_DB!C4:C110,0)+5)),"")</f>
        <v>Salão Glamour</v>
      </c>
      <c r="E15" s="18" t="str">
        <f>IFERROR(IF(INDEX(Pedidos_DB!C:C,3+MATCH($D$2,Pedidos_DB!C4:C110,0)+5)&lt;&gt;$D$2,"",INDEX(Pedidos_DB!E:E,3+MATCH($D$2,Pedidos_DB!C4:C110,0)+5)),"")</f>
        <v>Creme de Pentear Hidratante</v>
      </c>
      <c r="F15" s="15">
        <f>IFERROR(IF(INDEX(Pedidos_DB!C:C,3+MATCH($D$2,Pedidos_DB!C4:C110,0)+5)&lt;&gt;$D$2,"",INDEX(Pedidos_DB!F:F,3+MATCH($D$2,Pedidos_DB!C4:C110,0)+5)),"")</f>
        <v>15</v>
      </c>
      <c r="G15" s="8">
        <f>IFERROR(IF(INDEX(Pedidos_DB!C:C,3+MATCH($D$2,Pedidos_DB!C4:C110,0)+5)&lt;&gt;$D$2,"",INDEX(Pedidos_DB!G:G,3+MATCH($D$2,Pedidos_DB!C4:C110,0)+5)),"")</f>
        <v>273</v>
      </c>
      <c r="H15" s="15" t="str">
        <f>IFERROR(IF(INDEX(Pedidos_DB!C:C,3+MATCH($D$2,Pedidos_DB!C4:C110,0)+5)&lt;&gt;$D$2,"",INDEX(Pedidos_DB!H:H,3+MATCH($D$2,Pedidos_DB!C4:C110,0)+5)),"")</f>
        <v>concluído</v>
      </c>
    </row>
    <row r="16" spans="2:12" ht="13.5" customHeight="1" x14ac:dyDescent="0.25">
      <c r="B16" s="16" t="str">
        <f>IFERROR(IF(INDEX(Pedidos_DB!C:C,3+MATCH($D$2,Pedidos_DB!C4:C110,0)+6)&lt;&gt;$D$2,"",INDEX(Pedidos_DB!B:B,3+MATCH($D$2,Pedidos_DB!C4:C110,0)+6)),"")</f>
        <v>2024-09-17</v>
      </c>
      <c r="C16" s="16" t="str">
        <f>IFERROR(IF(INDEX(Pedidos_DB!C:C,3+MATCH($D$2,Pedidos_DB!C4:C110,0)+6)&lt;&gt;$D$2,"",INDEX(Pedidos_DB!C:C,3+MATCH($D$2,Pedidos_DB!C4:C110,0)+6)),"")</f>
        <v>Setembro</v>
      </c>
      <c r="D16" s="17" t="str">
        <f>IFERROR(IF(INDEX(Pedidos_DB!C:C,3+MATCH($D$2,Pedidos_DB!C4:C110,0)+6)&lt;&gt;$D$2,"",INDEX(Pedidos_DB!D:D,3+MATCH($D$2,Pedidos_DB!C4:C110,0)+6)),"")</f>
        <v>Salão Cabelos de Ouro</v>
      </c>
      <c r="E16" s="17" t="str">
        <f>IFERROR(IF(INDEX(Pedidos_DB!C:C,3+MATCH($D$2,Pedidos_DB!C4:C110,0)+6)&lt;&gt;$D$2,"",INDEX(Pedidos_DB!E:E,3+MATCH($D$2,Pedidos_DB!C4:C110,0)+6)),"")</f>
        <v>Shampoo Detox</v>
      </c>
      <c r="F16" s="16">
        <f>IFERROR(IF(INDEX(Pedidos_DB!C:C,3+MATCH($D$2,Pedidos_DB!C4:C110,0)+6)&lt;&gt;$D$2,"",INDEX(Pedidos_DB!F:F,3+MATCH($D$2,Pedidos_DB!C4:C110,0)+6)),"")</f>
        <v>20</v>
      </c>
      <c r="G16" s="5">
        <f>IFERROR(IF(INDEX(Pedidos_DB!C:C,3+MATCH($D$2,Pedidos_DB!C4:C110,0)+6)&lt;&gt;$D$2,"",INDEX(Pedidos_DB!G:G,3+MATCH($D$2,Pedidos_DB!C4:C110,0)+6)),"")</f>
        <v>398</v>
      </c>
      <c r="H16" s="16" t="str">
        <f>IFERROR(IF(INDEX(Pedidos_DB!C:C,3+MATCH($D$2,Pedidos_DB!C4:C110,0)+6)&lt;&gt;$D$2,"",INDEX(Pedidos_DB!H:H,3+MATCH($D$2,Pedidos_DB!C4:C110,0)+6)),"")</f>
        <v>concluído</v>
      </c>
    </row>
    <row r="17" spans="2:8" ht="13.5" customHeight="1" x14ac:dyDescent="0.25">
      <c r="B17" s="15" t="str">
        <f>IFERROR(IF(INDEX(Pedidos_DB!C:C,3+MATCH($D$2,Pedidos_DB!C4:C110,0)+7)&lt;&gt;$D$2,"",INDEX(Pedidos_DB!B:B,3+MATCH($D$2,Pedidos_DB!C4:C110,0)+7)),"")</f>
        <v>2024-09-20</v>
      </c>
      <c r="C17" s="15" t="str">
        <f>IFERROR(IF(INDEX(Pedidos_DB!C:C,3+MATCH($D$2,Pedidos_DB!C4:C110,0)+7)&lt;&gt;$D$2,"",INDEX(Pedidos_DB!C:C,3+MATCH($D$2,Pedidos_DB!C4:C110,0)+7)),"")</f>
        <v>Setembro</v>
      </c>
      <c r="D17" s="18" t="str">
        <f>IFERROR(IF(INDEX(Pedidos_DB!C:C,3+MATCH($D$2,Pedidos_DB!C4:C110,0)+7)&lt;&gt;$D$2,"",INDEX(Pedidos_DB!D:D,3+MATCH($D$2,Pedidos_DB!C4:C110,0)+7)),"")</f>
        <v>Salão Beleza &amp; Cia</v>
      </c>
      <c r="E17" s="18" t="str">
        <f>IFERROR(IF(INDEX(Pedidos_DB!C:C,3+MATCH($D$2,Pedidos_DB!C4:C110,0)+7)&lt;&gt;$D$2,"",INDEX(Pedidos_DB!E:E,3+MATCH($D$2,Pedidos_DB!C4:C110,0)+7)),"")</f>
        <v>Máscara de Nutrição Profunda</v>
      </c>
      <c r="F17" s="15">
        <f>IFERROR(IF(INDEX(Pedidos_DB!C:C,3+MATCH($D$2,Pedidos_DB!C4:C110,0)+7)&lt;&gt;$D$2,"",INDEX(Pedidos_DB!F:F,3+MATCH($D$2,Pedidos_DB!C4:C110,0)+7)),"")</f>
        <v>10</v>
      </c>
      <c r="G17" s="8">
        <f>IFERROR(IF(INDEX(Pedidos_DB!C:C,3+MATCH($D$2,Pedidos_DB!C4:C110,0)+7)&lt;&gt;$D$2,"",INDEX(Pedidos_DB!G:G,3+MATCH($D$2,Pedidos_DB!C4:C110,0)+7)),"")</f>
        <v>420</v>
      </c>
      <c r="H17" s="15" t="str">
        <f>IFERROR(IF(INDEX(Pedidos_DB!C:C,3+MATCH($D$2,Pedidos_DB!C4:C110,0)+7)&lt;&gt;$D$2,"",INDEX(Pedidos_DB!H:H,3+MATCH($D$2,Pedidos_DB!C4:C110,0)+7)),"")</f>
        <v>concluído</v>
      </c>
    </row>
    <row r="18" spans="2:8" ht="13.5" customHeight="1" x14ac:dyDescent="0.25">
      <c r="B18" s="16" t="str">
        <f>IFERROR(IF(INDEX(Pedidos_DB!C:C,3+MATCH($D$2,Pedidos_DB!C4:C110,0)+8)&lt;&gt;$D$2,"",INDEX(Pedidos_DB!B:B,3+MATCH($D$2,Pedidos_DB!C4:C110,0)+8)),"")</f>
        <v>2024-09-22</v>
      </c>
      <c r="C18" s="16" t="str">
        <f>IFERROR(IF(INDEX(Pedidos_DB!C:C,3+MATCH($D$2,Pedidos_DB!C4:C110,0)+8)&lt;&gt;$D$2,"",INDEX(Pedidos_DB!C:C,3+MATCH($D$2,Pedidos_DB!C4:C110,0)+8)),"")</f>
        <v>Setembro</v>
      </c>
      <c r="D18" s="17" t="str">
        <f>IFERROR(IF(INDEX(Pedidos_DB!C:C,3+MATCH($D$2,Pedidos_DB!C4:C110,0)+8)&lt;&gt;$D$2,"",INDEX(Pedidos_DB!D:D,3+MATCH($D$2,Pedidos_DB!C4:C110,0)+8)),"")</f>
        <v>Salão Bella Cabelos</v>
      </c>
      <c r="E18" s="17" t="str">
        <f>IFERROR(IF(INDEX(Pedidos_DB!C:C,3+MATCH($D$2,Pedidos_DB!C4:C110,0)+8)&lt;&gt;$D$2,"",INDEX(Pedidos_DB!E:E,3+MATCH($D$2,Pedidos_DB!C4:C110,0)+8)),"")</f>
        <v>Leave-in Nutritivo</v>
      </c>
      <c r="F18" s="16">
        <f>IFERROR(IF(INDEX(Pedidos_DB!C:C,3+MATCH($D$2,Pedidos_DB!C4:C110,0)+8)&lt;&gt;$D$2,"",INDEX(Pedidos_DB!F:F,3+MATCH($D$2,Pedidos_DB!C4:C110,0)+8)),"")</f>
        <v>15</v>
      </c>
      <c r="G18" s="5">
        <f>IFERROR(IF(INDEX(Pedidos_DB!C:C,3+MATCH($D$2,Pedidos_DB!C4:C110,0)+8)&lt;&gt;$D$2,"",INDEX(Pedidos_DB!G:G,3+MATCH($D$2,Pedidos_DB!C4:C110,0)+8)),"")</f>
        <v>351</v>
      </c>
      <c r="H18" s="16" t="str">
        <f>IFERROR(IF(INDEX(Pedidos_DB!C:C,3+MATCH($D$2,Pedidos_DB!C4:C110,0)+8)&lt;&gt;$D$2,"",INDEX(Pedidos_DB!H:H,3+MATCH($D$2,Pedidos_DB!C4:C110,0)+8)),"")</f>
        <v>concluído</v>
      </c>
    </row>
    <row r="19" spans="2:8" ht="13.5" customHeight="1" x14ac:dyDescent="0.25">
      <c r="B19" s="15" t="str">
        <f>IFERROR(IF(INDEX(Pedidos_DB!C:C,3+MATCH($D$2,Pedidos_DB!C4:C110,0)+9)&lt;&gt;$D$2,"",INDEX(Pedidos_DB!B:B,3+MATCH($D$2,Pedidos_DB!C4:C110,0)+9)),"")</f>
        <v>2024-09-25</v>
      </c>
      <c r="C19" s="15" t="str">
        <f>IFERROR(IF(INDEX(Pedidos_DB!C:C,3+MATCH($D$2,Pedidos_DB!C4:C110,0)+9)&lt;&gt;$D$2,"",INDEX(Pedidos_DB!C:C,3+MATCH($D$2,Pedidos_DB!C4:C110,0)+9)),"")</f>
        <v>Setembro</v>
      </c>
      <c r="D19" s="18" t="str">
        <f>IFERROR(IF(INDEX(Pedidos_DB!C:C,3+MATCH($D$2,Pedidos_DB!C4:C110,0)+9)&lt;&gt;$D$2,"",INDEX(Pedidos_DB!D:D,3+MATCH($D$2,Pedidos_DB!C4:C110,0)+9)),"")</f>
        <v>Salão Luxo Capilar</v>
      </c>
      <c r="E19" s="18" t="str">
        <f>IFERROR(IF(INDEX(Pedidos_DB!C:C,3+MATCH($D$2,Pedidos_DB!C4:C110,0)+9)&lt;&gt;$D$2,"",INDEX(Pedidos_DB!E:E,3+MATCH($D$2,Pedidos_DB!C4:C110,0)+9)),"")</f>
        <v>Condicionador Antifrizz</v>
      </c>
      <c r="F19" s="15">
        <f>IFERROR(IF(INDEX(Pedidos_DB!C:C,3+MATCH($D$2,Pedidos_DB!C4:C110,0)+9)&lt;&gt;$D$2,"",INDEX(Pedidos_DB!F:F,3+MATCH($D$2,Pedidos_DB!C4:C110,0)+9)),"")</f>
        <v>12</v>
      </c>
      <c r="G19" s="8">
        <f>IFERROR(IF(INDEX(Pedidos_DB!C:C,3+MATCH($D$2,Pedidos_DB!C4:C110,0)+9)&lt;&gt;$D$2,"",INDEX(Pedidos_DB!G:G,3+MATCH($D$2,Pedidos_DB!C4:C110,0)+9)),"")</f>
        <v>325.2</v>
      </c>
      <c r="H19" s="15" t="str">
        <f>IFERROR(IF(INDEX(Pedidos_DB!C:C,3+MATCH($D$2,Pedidos_DB!C4:C110,0)+9)&lt;&gt;$D$2,"",INDEX(Pedidos_DB!H:H,3+MATCH($D$2,Pedidos_DB!C4:C110,0)+9)),"")</f>
        <v>concluído</v>
      </c>
    </row>
    <row r="20" spans="2:8" ht="13.5" customHeight="1" x14ac:dyDescent="0.25">
      <c r="B20" s="16" t="str">
        <f>IFERROR(IF(INDEX(Pedidos_DB!C:C,3+MATCH($D$2,Pedidos_DB!C4:C110,0)+10)&lt;&gt;$D$2,"",INDEX(Pedidos_DB!B:B,3+MATCH($D$2,Pedidos_DB!C4:C110,0)+10)),"")</f>
        <v>2024-09-27</v>
      </c>
      <c r="C20" s="16" t="str">
        <f>IFERROR(IF(INDEX(Pedidos_DB!C:C,3+MATCH($D$2,Pedidos_DB!C4:C110,0)+10)&lt;&gt;$D$2,"",INDEX(Pedidos_DB!C:C,3+MATCH($D$2,Pedidos_DB!C4:C110,0)+10)),"")</f>
        <v>Setembro</v>
      </c>
      <c r="D20" s="17" t="str">
        <f>IFERROR(IF(INDEX(Pedidos_DB!C:C,3+MATCH($D$2,Pedidos_DB!C4:C110,0)+10)&lt;&gt;$D$2,"",INDEX(Pedidos_DB!D:D,3+MATCH($D$2,Pedidos_DB!C4:C110,0)+10)),"")</f>
        <v>Salão Glamour</v>
      </c>
      <c r="E20" s="17" t="str">
        <f>IFERROR(IF(INDEX(Pedidos_DB!C:C,3+MATCH($D$2,Pedidos_DB!C4:C110,0)+10)&lt;&gt;$D$2,"",INDEX(Pedidos_DB!E:E,3+MATCH($D$2,Pedidos_DB!C4:C110,0)+10)),"")</f>
        <v>Óleo de Argan</v>
      </c>
      <c r="F20" s="16">
        <f>IFERROR(IF(INDEX(Pedidos_DB!C:C,3+MATCH($D$2,Pedidos_DB!C4:C110,0)+10)&lt;&gt;$D$2,"",INDEX(Pedidos_DB!F:F,3+MATCH($D$2,Pedidos_DB!C4:C110,0)+10)),"")</f>
        <v>8</v>
      </c>
      <c r="G20" s="5">
        <f>IFERROR(IF(INDEX(Pedidos_DB!C:C,3+MATCH($D$2,Pedidos_DB!C4:C110,0)+10)&lt;&gt;$D$2,"",INDEX(Pedidos_DB!G:G,3+MATCH($D$2,Pedidos_DB!C4:C110,0)+10)),"")</f>
        <v>239.2</v>
      </c>
      <c r="H20" s="16" t="str">
        <f>IFERROR(IF(INDEX(Pedidos_DB!C:C,3+MATCH($D$2,Pedidos_DB!C4:C110,0)+10)&lt;&gt;$D$2,"",INDEX(Pedidos_DB!H:H,3+MATCH($D$2,Pedidos_DB!C4:C110,0)+10)),"")</f>
        <v>concluído</v>
      </c>
    </row>
    <row r="21" spans="2:8" ht="13.5" customHeight="1" x14ac:dyDescent="0.25">
      <c r="B21" s="15" t="str">
        <f>IFERROR(IF(INDEX(Pedidos_DB!C:C,3+MATCH($D$2,Pedidos_DB!C4:C110,0)+11)&lt;&gt;$D$2,"",INDEX(Pedidos_DB!B:B,3+MATCH($D$2,Pedidos_DB!C4:C110,0)+11)),"")</f>
        <v/>
      </c>
      <c r="C21" s="15" t="str">
        <f>IFERROR(IF(INDEX(Pedidos_DB!C:C,3+MATCH($D$2,Pedidos_DB!C4:C110,0)+11)&lt;&gt;$D$2,"",INDEX(Pedidos_DB!C:C,3+MATCH($D$2,Pedidos_DB!C4:C110,0)+11)),"")</f>
        <v/>
      </c>
      <c r="D21" s="18" t="str">
        <f>IFERROR(IF(INDEX(Pedidos_DB!C:C,3+MATCH($D$2,Pedidos_DB!C4:C110,0)+11)&lt;&gt;$D$2,"",INDEX(Pedidos_DB!D:D,3+MATCH($D$2,Pedidos_DB!C4:C110,0)+11)),"")</f>
        <v/>
      </c>
      <c r="E21" s="18" t="str">
        <f>IFERROR(IF(INDEX(Pedidos_DB!C:C,3+MATCH($D$2,Pedidos_DB!C4:C110,0)+11)&lt;&gt;$D$2,"",INDEX(Pedidos_DB!E:E,3+MATCH($D$2,Pedidos_DB!C4:C110,0)+11)),"")</f>
        <v/>
      </c>
      <c r="F21" s="15" t="str">
        <f>IFERROR(IF(INDEX(Pedidos_DB!C:C,3+MATCH($D$2,Pedidos_DB!C4:C110,0)+11)&lt;&gt;$D$2,"",INDEX(Pedidos_DB!F:F,3+MATCH($D$2,Pedidos_DB!C4:C110,0)+11)),"")</f>
        <v/>
      </c>
      <c r="G21" s="8" t="str">
        <f>IFERROR(IF(INDEX(Pedidos_DB!C:C,3+MATCH($D$2,Pedidos_DB!C4:C110,0)+11)&lt;&gt;$D$2,"",INDEX(Pedidos_DB!G:G,3+MATCH($D$2,Pedidos_DB!C4:C110,0)+11)),"")</f>
        <v/>
      </c>
      <c r="H21" s="15" t="str">
        <f>IFERROR(IF(INDEX(Pedidos_DB!C:C,3+MATCH($D$2,Pedidos_DB!C4:C110,0)+11)&lt;&gt;$D$2,"",INDEX(Pedidos_DB!H:H,3+MATCH($D$2,Pedidos_DB!C4:C110,0)+11)),"")</f>
        <v/>
      </c>
    </row>
    <row r="22" spans="2:8" ht="13.5" customHeight="1" x14ac:dyDescent="0.25">
      <c r="B22" s="16" t="str">
        <f>IFERROR(IF(INDEX(Pedidos_DB!C:C,3+MATCH($D$2,Pedidos_DB!C4:C110,0)+12)&lt;&gt;$D$2,"",INDEX(Pedidos_DB!B:B,3+MATCH($D$2,Pedidos_DB!C4:C110,0)+12)),"")</f>
        <v/>
      </c>
      <c r="C22" s="16" t="str">
        <f>IFERROR(IF(INDEX(Pedidos_DB!C:C,3+MATCH($D$2,Pedidos_DB!C4:C110,0)+12)&lt;&gt;$D$2,"",INDEX(Pedidos_DB!C:C,3+MATCH($D$2,Pedidos_DB!C4:C110,0)+12)),"")</f>
        <v/>
      </c>
      <c r="D22" s="17" t="str">
        <f>IFERROR(IF(INDEX(Pedidos_DB!C:C,3+MATCH($D$2,Pedidos_DB!C4:C110,0)+12)&lt;&gt;$D$2,"",INDEX(Pedidos_DB!D:D,3+MATCH($D$2,Pedidos_DB!C4:C110,0)+12)),"")</f>
        <v/>
      </c>
      <c r="E22" s="17" t="str">
        <f>IFERROR(IF(INDEX(Pedidos_DB!C:C,3+MATCH($D$2,Pedidos_DB!C4:C110,0)+12)&lt;&gt;$D$2,"",INDEX(Pedidos_DB!E:E,3+MATCH($D$2,Pedidos_DB!C4:C110,0)+12)),"")</f>
        <v/>
      </c>
      <c r="F22" s="16" t="str">
        <f>IFERROR(IF(INDEX(Pedidos_DB!C:C,3+MATCH($D$2,Pedidos_DB!C4:C110,0)+12)&lt;&gt;$D$2,"",INDEX(Pedidos_DB!F:F,3+MATCH($D$2,Pedidos_DB!C4:C110,0)+12)),"")</f>
        <v/>
      </c>
      <c r="G22" s="5" t="str">
        <f>IFERROR(IF(INDEX(Pedidos_DB!C:C,3+MATCH($D$2,Pedidos_DB!C4:C110,0)+12)&lt;&gt;$D$2,"",INDEX(Pedidos_DB!G:G,3+MATCH($D$2,Pedidos_DB!C4:C110,0)+12)),"")</f>
        <v/>
      </c>
      <c r="H22" s="16" t="str">
        <f>IFERROR(IF(INDEX(Pedidos_DB!C:C,3+MATCH($D$2,Pedidos_DB!C4:C110,0)+12)&lt;&gt;$D$2,"",INDEX(Pedidos_DB!H:H,3+MATCH($D$2,Pedidos_DB!C4:C110,0)+12)),"")</f>
        <v/>
      </c>
    </row>
    <row r="23" spans="2:8" ht="13.5" customHeight="1" x14ac:dyDescent="0.25">
      <c r="B23" s="15" t="str">
        <f>IFERROR(IF(INDEX(Pedidos_DB!C:C,3+MATCH($D$2,Pedidos_DB!C4:C110,0)+13)&lt;&gt;$D$2,"",INDEX(Pedidos_DB!B:B,3+MATCH($D$2,Pedidos_DB!C4:C110,0)+13)),"")</f>
        <v/>
      </c>
      <c r="C23" s="15" t="str">
        <f>IFERROR(IF(INDEX(Pedidos_DB!C:C,3+MATCH($D$2,Pedidos_DB!C4:C110,0)+13)&lt;&gt;$D$2,"",INDEX(Pedidos_DB!C:C,3+MATCH($D$2,Pedidos_DB!C4:C110,0)+13)),"")</f>
        <v/>
      </c>
      <c r="D23" s="18" t="str">
        <f>IFERROR(IF(INDEX(Pedidos_DB!C:C,3+MATCH($D$2,Pedidos_DB!C4:C110,0)+13)&lt;&gt;$D$2,"",INDEX(Pedidos_DB!D:D,3+MATCH($D$2,Pedidos_DB!C4:C110,0)+13)),"")</f>
        <v/>
      </c>
      <c r="E23" s="18" t="str">
        <f>IFERROR(IF(INDEX(Pedidos_DB!C:C,3+MATCH($D$2,Pedidos_DB!C4:C110,0)+13)&lt;&gt;$D$2,"",INDEX(Pedidos_DB!E:E,3+MATCH($D$2,Pedidos_DB!C4:C110,0)+13)),"")</f>
        <v/>
      </c>
      <c r="F23" s="15" t="str">
        <f>IFERROR(IF(INDEX(Pedidos_DB!C:C,3+MATCH($D$2,Pedidos_DB!C4:C110,0)+13)&lt;&gt;$D$2,"",INDEX(Pedidos_DB!F:F,3+MATCH($D$2,Pedidos_DB!C4:C110,0)+13)),"")</f>
        <v/>
      </c>
      <c r="G23" s="8" t="str">
        <f>IFERROR(IF(INDEX(Pedidos_DB!C:C,3+MATCH($D$2,Pedidos_DB!C4:C110,0)+13)&lt;&gt;$D$2,"",INDEX(Pedidos_DB!G:G,3+MATCH($D$2,Pedidos_DB!C4:C110,0)+13)),"")</f>
        <v/>
      </c>
      <c r="H23" s="15" t="str">
        <f>IFERROR(IF(INDEX(Pedidos_DB!C:C,3+MATCH($D$2,Pedidos_DB!C4:C110,0)+13)&lt;&gt;$D$2,"",INDEX(Pedidos_DB!H:H,3+MATCH($D$2,Pedidos_DB!C4:C110,0)+13)),"")</f>
        <v/>
      </c>
    </row>
    <row r="24" spans="2:8" ht="13.5" customHeight="1" x14ac:dyDescent="0.25">
      <c r="B24" s="16" t="str">
        <f>IFERROR(IF(INDEX(Pedidos_DB!C:C,3+MATCH($D$2,Pedidos_DB!C4:C110,0)+14)&lt;&gt;$D$2,"",INDEX(Pedidos_DB!B:B,3+MATCH($D$2,Pedidos_DB!C4:C110,0)+14)),"")</f>
        <v/>
      </c>
      <c r="C24" s="16" t="str">
        <f>IFERROR(IF(INDEX(Pedidos_DB!C:C,3+MATCH($D$2,Pedidos_DB!C4:C110,0)+14)&lt;&gt;$D$2,"",INDEX(Pedidos_DB!C:C,3+MATCH($D$2,Pedidos_DB!C4:C110,0)+14)),"")</f>
        <v/>
      </c>
      <c r="D24" s="17" t="str">
        <f>IFERROR(IF(INDEX(Pedidos_DB!C:C,3+MATCH($D$2,Pedidos_DB!C4:C110,0)+14)&lt;&gt;$D$2,"",INDEX(Pedidos_DB!D:D,3+MATCH($D$2,Pedidos_DB!C4:C110,0)+14)),"")</f>
        <v/>
      </c>
      <c r="E24" s="17" t="str">
        <f>IFERROR(IF(INDEX(Pedidos_DB!C:C,3+MATCH($D$2,Pedidos_DB!C4:C110,0)+14)&lt;&gt;$D$2,"",INDEX(Pedidos_DB!E:E,3+MATCH($D$2,Pedidos_DB!C4:C110,0)+14)),"")</f>
        <v/>
      </c>
      <c r="F24" s="16" t="str">
        <f>IFERROR(IF(INDEX(Pedidos_DB!C:C,3+MATCH($D$2,Pedidos_DB!C4:C110,0)+14)&lt;&gt;$D$2,"",INDEX(Pedidos_DB!F:F,3+MATCH($D$2,Pedidos_DB!C4:C110,0)+14)),"")</f>
        <v/>
      </c>
      <c r="G24" s="5" t="str">
        <f>IFERROR(IF(INDEX(Pedidos_DB!C:C,3+MATCH($D$2,Pedidos_DB!C4:C110,0)+14)&lt;&gt;$D$2,"",INDEX(Pedidos_DB!G:G,3+MATCH($D$2,Pedidos_DB!C4:C110,0)+14)),"")</f>
        <v/>
      </c>
      <c r="H24" s="16" t="str">
        <f>IFERROR(IF(INDEX(Pedidos_DB!C:C,3+MATCH($D$2,Pedidos_DB!C4:C110,0)+14)&lt;&gt;$D$2,"",INDEX(Pedidos_DB!H:H,3+MATCH($D$2,Pedidos_DB!C4:C110,0)+14)),"")</f>
        <v/>
      </c>
    </row>
    <row r="25" spans="2:8" ht="13.5" customHeight="1" x14ac:dyDescent="0.25">
      <c r="B25" s="15" t="str">
        <f>IFERROR(IF(INDEX(Pedidos_DB!C:C,3+MATCH($D$2,Pedidos_DB!C4:C110,0)+15)&lt;&gt;$D$2,"",INDEX(Pedidos_DB!B:B,3+MATCH($D$2,Pedidos_DB!C4:C110,0)+15)),"")</f>
        <v/>
      </c>
      <c r="C25" s="15" t="str">
        <f>IFERROR(IF(INDEX(Pedidos_DB!C:C,3+MATCH($D$2,Pedidos_DB!C4:C110,0)+15)&lt;&gt;$D$2,"",INDEX(Pedidos_DB!C:C,3+MATCH($D$2,Pedidos_DB!C4:C110,0)+15)),"")</f>
        <v/>
      </c>
      <c r="D25" s="18" t="str">
        <f>IFERROR(IF(INDEX(Pedidos_DB!C:C,3+MATCH($D$2,Pedidos_DB!C4:C110,0)+15)&lt;&gt;$D$2,"",INDEX(Pedidos_DB!D:D,3+MATCH($D$2,Pedidos_DB!C4:C110,0)+15)),"")</f>
        <v/>
      </c>
      <c r="E25" s="18" t="str">
        <f>IFERROR(IF(INDEX(Pedidos_DB!C:C,3+MATCH($D$2,Pedidos_DB!C4:C110,0)+15)&lt;&gt;$D$2,"",INDEX(Pedidos_DB!E:E,3+MATCH($D$2,Pedidos_DB!C4:C110,0)+15)),"")</f>
        <v/>
      </c>
      <c r="F25" s="15" t="str">
        <f>IFERROR(IF(INDEX(Pedidos_DB!C:C,3+MATCH($D$2,Pedidos_DB!C4:C110,0)+15)&lt;&gt;$D$2,"",INDEX(Pedidos_DB!F:F,3+MATCH($D$2,Pedidos_DB!C4:C110,0)+15)),"")</f>
        <v/>
      </c>
      <c r="G25" s="8" t="str">
        <f>IFERROR(IF(INDEX(Pedidos_DB!C:C,3+MATCH($D$2,Pedidos_DB!C4:C110,0)+15)&lt;&gt;$D$2,"",INDEX(Pedidos_DB!G:G,3+MATCH($D$2,Pedidos_DB!C4:C110,0)+15)),"")</f>
        <v/>
      </c>
      <c r="H25" s="15" t="str">
        <f>IFERROR(IF(INDEX(Pedidos_DB!C:C,3+MATCH($D$2,Pedidos_DB!C4:C110,0)+15)&lt;&gt;$D$2,"",INDEX(Pedidos_DB!H:H,3+MATCH($D$2,Pedidos_DB!C4:C110,0)+15)),"")</f>
        <v/>
      </c>
    </row>
    <row r="26" spans="2:8" ht="13.5" customHeight="1" x14ac:dyDescent="0.25">
      <c r="B26" s="16" t="str">
        <f>IFERROR(IF(INDEX(Pedidos_DB!C:C,3+MATCH($D$2,Pedidos_DB!C4:C110,0)+16)&lt;&gt;$D$2,"",INDEX(Pedidos_DB!B:B,3+MATCH($D$2,Pedidos_DB!C4:C110,0)+16)),"")</f>
        <v/>
      </c>
      <c r="C26" s="16" t="str">
        <f>IFERROR(IF(INDEX(Pedidos_DB!C:C,3+MATCH($D$2,Pedidos_DB!C4:C110,0)+16)&lt;&gt;$D$2,"",INDEX(Pedidos_DB!C:C,3+MATCH($D$2,Pedidos_DB!C4:C110,0)+16)),"")</f>
        <v/>
      </c>
      <c r="D26" s="17" t="str">
        <f>IFERROR(IF(INDEX(Pedidos_DB!C:C,3+MATCH($D$2,Pedidos_DB!C4:C110,0)+16)&lt;&gt;$D$2,"",INDEX(Pedidos_DB!D:D,3+MATCH($D$2,Pedidos_DB!C4:C110,0)+16)),"")</f>
        <v/>
      </c>
      <c r="E26" s="17" t="str">
        <f>IFERROR(IF(INDEX(Pedidos_DB!C:C,3+MATCH($D$2,Pedidos_DB!C4:C110,0)+16)&lt;&gt;$D$2,"",INDEX(Pedidos_DB!E:E,3+MATCH($D$2,Pedidos_DB!C4:C110,0)+16)),"")</f>
        <v/>
      </c>
      <c r="F26" s="16" t="str">
        <f>IFERROR(IF(INDEX(Pedidos_DB!C:C,3+MATCH($D$2,Pedidos_DB!C4:C110,0)+16)&lt;&gt;$D$2,"",INDEX(Pedidos_DB!F:F,3+MATCH($D$2,Pedidos_DB!C4:C110,0)+16)),"")</f>
        <v/>
      </c>
      <c r="G26" s="5" t="str">
        <f>IFERROR(IF(INDEX(Pedidos_DB!C:C,3+MATCH($D$2,Pedidos_DB!C4:C110,0)+16)&lt;&gt;$D$2,"",INDEX(Pedidos_DB!G:G,3+MATCH($D$2,Pedidos_DB!C4:C110,0)+16)),"")</f>
        <v/>
      </c>
      <c r="H26" s="16" t="str">
        <f>IFERROR(IF(INDEX(Pedidos_DB!C:C,3+MATCH($D$2,Pedidos_DB!C4:C110,0)+16)&lt;&gt;$D$2,"",INDEX(Pedidos_DB!H:H,3+MATCH($D$2,Pedidos_DB!C4:C110,0)+16)),"")</f>
        <v/>
      </c>
    </row>
    <row r="27" spans="2:8" ht="13.5" customHeight="1" x14ac:dyDescent="0.25">
      <c r="B27" s="15" t="str">
        <f>IFERROR(IF(INDEX(Pedidos_DB!C:C,3+MATCH($D$2,Pedidos_DB!C4:C110,0)+17)&lt;&gt;$D$2,"",INDEX(Pedidos_DB!B:B,3+MATCH($D$2,Pedidos_DB!C4:C110,0)+17)),"")</f>
        <v/>
      </c>
      <c r="C27" s="15" t="str">
        <f>IFERROR(IF(INDEX(Pedidos_DB!C:C,3+MATCH($D$2,Pedidos_DB!C4:C110,0)+17)&lt;&gt;$D$2,"",INDEX(Pedidos_DB!C:C,3+MATCH($D$2,Pedidos_DB!C4:C110,0)+17)),"")</f>
        <v/>
      </c>
      <c r="D27" s="18" t="str">
        <f>IFERROR(IF(INDEX(Pedidos_DB!C:C,3+MATCH($D$2,Pedidos_DB!C4:C110,0)+17)&lt;&gt;$D$2,"",INDEX(Pedidos_DB!D:D,3+MATCH($D$2,Pedidos_DB!C4:C110,0)+17)),"")</f>
        <v/>
      </c>
      <c r="E27" s="18" t="str">
        <f>IFERROR(IF(INDEX(Pedidos_DB!C:C,3+MATCH($D$2,Pedidos_DB!C4:C110,0)+17)&lt;&gt;$D$2,"",INDEX(Pedidos_DB!E:E,3+MATCH($D$2,Pedidos_DB!C4:C110,0)+17)),"")</f>
        <v/>
      </c>
      <c r="F27" s="15" t="str">
        <f>IFERROR(IF(INDEX(Pedidos_DB!C:C,3+MATCH($D$2,Pedidos_DB!C4:C110,0)+17)&lt;&gt;$D$2,"",INDEX(Pedidos_DB!F:F,3+MATCH($D$2,Pedidos_DB!C4:C110,0)+17)),"")</f>
        <v/>
      </c>
      <c r="G27" s="8" t="str">
        <f>IFERROR(IF(INDEX(Pedidos_DB!C:C,3+MATCH($D$2,Pedidos_DB!C4:C110,0)+17)&lt;&gt;$D$2,"",INDEX(Pedidos_DB!G:G,3+MATCH($D$2,Pedidos_DB!C4:C110,0)+17)),"")</f>
        <v/>
      </c>
      <c r="H27" s="15" t="str">
        <f>IFERROR(IF(INDEX(Pedidos_DB!C:C,3+MATCH($D$2,Pedidos_DB!C4:C110,0)+17)&lt;&gt;$D$2,"",INDEX(Pedidos_DB!H:H,3+MATCH($D$2,Pedidos_DB!C4:C110,0)+17)),"")</f>
        <v/>
      </c>
    </row>
    <row r="28" spans="2:8" ht="13.5" customHeight="1" x14ac:dyDescent="0.25">
      <c r="B28" s="16" t="str">
        <f>IFERROR(IF(INDEX(Pedidos_DB!C:C,3+MATCH($D$2,Pedidos_DB!C4:C110,0)+18)&lt;&gt;$D$2,"",INDEX(Pedidos_DB!B:B,3+MATCH($D$2,Pedidos_DB!C4:C110,0)+18)),"")</f>
        <v/>
      </c>
      <c r="C28" s="16" t="str">
        <f>IFERROR(IF(INDEX(Pedidos_DB!C:C,3+MATCH($D$2,Pedidos_DB!C4:C110,0)+18)&lt;&gt;$D$2,"",INDEX(Pedidos_DB!C:C,3+MATCH($D$2,Pedidos_DB!C4:C110,0)+18)),"")</f>
        <v/>
      </c>
      <c r="D28" s="17" t="str">
        <f>IFERROR(IF(INDEX(Pedidos_DB!C:C,3+MATCH($D$2,Pedidos_DB!C4:C110,0)+18)&lt;&gt;$D$2,"",INDEX(Pedidos_DB!D:D,3+MATCH($D$2,Pedidos_DB!C4:C110,0)+18)),"")</f>
        <v/>
      </c>
      <c r="E28" s="17" t="str">
        <f>IFERROR(IF(INDEX(Pedidos_DB!C:C,3+MATCH($D$2,Pedidos_DB!C4:C110,0)+18)&lt;&gt;$D$2,"",INDEX(Pedidos_DB!E:E,3+MATCH($D$2,Pedidos_DB!C4:C110,0)+18)),"")</f>
        <v/>
      </c>
      <c r="F28" s="16" t="str">
        <f>IFERROR(IF(INDEX(Pedidos_DB!C:C,3+MATCH($D$2,Pedidos_DB!C4:C110,0)+18)&lt;&gt;$D$2,"",INDEX(Pedidos_DB!F:F,3+MATCH($D$2,Pedidos_DB!C4:C110,0)+18)),"")</f>
        <v/>
      </c>
      <c r="G28" s="5" t="str">
        <f>IFERROR(IF(INDEX(Pedidos_DB!C:C,3+MATCH($D$2,Pedidos_DB!C4:C110,0)+18)&lt;&gt;$D$2,"",INDEX(Pedidos_DB!G:G,3+MATCH($D$2,Pedidos_DB!C4:C110,0)+18)),"")</f>
        <v/>
      </c>
      <c r="H28" s="16" t="str">
        <f>IFERROR(IF(INDEX(Pedidos_DB!C:C,3+MATCH($D$2,Pedidos_DB!C4:C110,0)+18)&lt;&gt;$D$2,"",INDEX(Pedidos_DB!H:H,3+MATCH($D$2,Pedidos_DB!C4:C110,0)+18)),"")</f>
        <v/>
      </c>
    </row>
    <row r="29" spans="2:8" ht="13.5" customHeight="1" x14ac:dyDescent="0.25">
      <c r="B29" s="15" t="str">
        <f>IFERROR(IF(INDEX(Pedidos_DB!C:C,3+MATCH($D$2,Pedidos_DB!C4:C110,0)+19)&lt;&gt;$D$2,"",INDEX(Pedidos_DB!B:B,3+MATCH($D$2,Pedidos_DB!C4:C110,0)+19)),"")</f>
        <v/>
      </c>
      <c r="C29" s="15" t="str">
        <f>IFERROR(IF(INDEX(Pedidos_DB!C:C,3+MATCH($D$2,Pedidos_DB!C4:C110,0)+19)&lt;&gt;$D$2,"",INDEX(Pedidos_DB!C:C,3+MATCH($D$2,Pedidos_DB!C4:C110,0)+19)),"")</f>
        <v/>
      </c>
      <c r="D29" s="18" t="str">
        <f>IFERROR(IF(INDEX(Pedidos_DB!C:C,3+MATCH($D$2,Pedidos_DB!C4:C110,0)+19)&lt;&gt;$D$2,"",INDEX(Pedidos_DB!D:D,3+MATCH($D$2,Pedidos_DB!C4:C110,0)+19)),"")</f>
        <v/>
      </c>
      <c r="E29" s="18" t="str">
        <f>IFERROR(IF(INDEX(Pedidos_DB!C:C,3+MATCH($D$2,Pedidos_DB!C4:C110,0)+19)&lt;&gt;$D$2,"",INDEX(Pedidos_DB!E:E,3+MATCH($D$2,Pedidos_DB!C4:C110,0)+19)),"")</f>
        <v/>
      </c>
      <c r="F29" s="15" t="str">
        <f>IFERROR(IF(INDEX(Pedidos_DB!C:C,3+MATCH($D$2,Pedidos_DB!C4:C110,0)+19)&lt;&gt;$D$2,"",INDEX(Pedidos_DB!F:F,3+MATCH($D$2,Pedidos_DB!C4:C110,0)+19)),"")</f>
        <v/>
      </c>
      <c r="G29" s="8" t="str">
        <f>IFERROR(IF(INDEX(Pedidos_DB!C:C,3+MATCH($D$2,Pedidos_DB!C4:C110,0)+19)&lt;&gt;$D$2,"",INDEX(Pedidos_DB!G:G,3+MATCH($D$2,Pedidos_DB!C4:C110,0)+19)),"")</f>
        <v/>
      </c>
      <c r="H29" s="15" t="str">
        <f>IFERROR(IF(INDEX(Pedidos_DB!C:C,3+MATCH($D$2,Pedidos_DB!C4:C110,0)+19)&lt;&gt;$D$2,"",INDEX(Pedidos_DB!H:H,3+MATCH($D$2,Pedidos_DB!C4:C110,0)+19)),"")</f>
        <v/>
      </c>
    </row>
    <row r="30" spans="2:8" ht="13.5" customHeight="1" x14ac:dyDescent="0.25">
      <c r="B30" s="16" t="str">
        <f>IFERROR(IF(INDEX(Pedidos_DB!C:C,3+MATCH($D$2,Pedidos_DB!C4:C110,0)+20)&lt;&gt;$D$2,"",INDEX(Pedidos_DB!B:B,3+MATCH($D$2,Pedidos_DB!C4:C110,0)+20)),"")</f>
        <v/>
      </c>
      <c r="C30" s="16" t="str">
        <f>IFERROR(IF(INDEX(Pedidos_DB!C:C,3+MATCH($D$2,Pedidos_DB!C4:C110,0)+20)&lt;&gt;$D$2,"",INDEX(Pedidos_DB!C:C,3+MATCH($D$2,Pedidos_DB!C4:C110,0)+20)),"")</f>
        <v/>
      </c>
      <c r="D30" s="17" t="str">
        <f>IFERROR(IF(INDEX(Pedidos_DB!C:C,3+MATCH($D$2,Pedidos_DB!C4:C110,0)+20)&lt;&gt;$D$2,"",INDEX(Pedidos_DB!D:D,3+MATCH($D$2,Pedidos_DB!C4:C110,0)+20)),"")</f>
        <v/>
      </c>
      <c r="E30" s="17" t="str">
        <f>IFERROR(IF(INDEX(Pedidos_DB!C:C,3+MATCH($D$2,Pedidos_DB!C4:C110,0)+20)&lt;&gt;$D$2,"",INDEX(Pedidos_DB!E:E,3+MATCH($D$2,Pedidos_DB!C4:C110,0)+20)),"")</f>
        <v/>
      </c>
      <c r="F30" s="16" t="str">
        <f>IFERROR(IF(INDEX(Pedidos_DB!C:C,3+MATCH($D$2,Pedidos_DB!C4:C110,0)+20)&lt;&gt;$D$2,"",INDEX(Pedidos_DB!F:F,3+MATCH($D$2,Pedidos_DB!C4:C110,0)+20)),"")</f>
        <v/>
      </c>
      <c r="G30" s="5" t="str">
        <f>IFERROR(IF(INDEX(Pedidos_DB!C:C,3+MATCH($D$2,Pedidos_DB!C4:C110,0)+20)&lt;&gt;$D$2,"",INDEX(Pedidos_DB!G:G,3+MATCH($D$2,Pedidos_DB!C4:C110,0)+20)),"")</f>
        <v/>
      </c>
      <c r="H30" s="16" t="str">
        <f>IFERROR(IF(INDEX(Pedidos_DB!C:C,3+MATCH($D$2,Pedidos_DB!C4:C110,0)+20)&lt;&gt;$D$2,"",INDEX(Pedidos_DB!H:H,3+MATCH($D$2,Pedidos_DB!C4:C110,0)+20)),"")</f>
        <v/>
      </c>
    </row>
    <row r="31" spans="2:8" ht="13.5" customHeight="1" x14ac:dyDescent="0.25">
      <c r="B31" s="15" t="str">
        <f>IFERROR(IF(INDEX(Pedidos_DB!C:C,3+MATCH($D$2,Pedidos_DB!C4:C110,0)+21)&lt;&gt;$D$2,"",INDEX(Pedidos_DB!B:B,3+MATCH($D$2,Pedidos_DB!C4:C110,0)+21)),"")</f>
        <v/>
      </c>
      <c r="C31" s="15" t="str">
        <f>IFERROR(IF(INDEX(Pedidos_DB!C:C,3+MATCH($D$2,Pedidos_DB!C4:C110,0)+21)&lt;&gt;$D$2,"",INDEX(Pedidos_DB!C:C,3+MATCH($D$2,Pedidos_DB!C4:C110,0)+21)),"")</f>
        <v/>
      </c>
      <c r="D31" s="18" t="str">
        <f>IFERROR(IF(INDEX(Pedidos_DB!C:C,3+MATCH($D$2,Pedidos_DB!C4:C110,0)+21)&lt;&gt;$D$2,"",INDEX(Pedidos_DB!D:D,3+MATCH($D$2,Pedidos_DB!C4:C110,0)+21)),"")</f>
        <v/>
      </c>
      <c r="E31" s="18" t="str">
        <f>IFERROR(IF(INDEX(Pedidos_DB!C:C,3+MATCH($D$2,Pedidos_DB!C4:C110,0)+21)&lt;&gt;$D$2,"",INDEX(Pedidos_DB!E:E,3+MATCH($D$2,Pedidos_DB!C4:C110,0)+21)),"")</f>
        <v/>
      </c>
      <c r="F31" s="15" t="str">
        <f>IFERROR(IF(INDEX(Pedidos_DB!C:C,3+MATCH($D$2,Pedidos_DB!C4:C110,0)+21)&lt;&gt;$D$2,"",INDEX(Pedidos_DB!F:F,3+MATCH($D$2,Pedidos_DB!C4:C110,0)+21)),"")</f>
        <v/>
      </c>
      <c r="G31" s="8" t="str">
        <f>IFERROR(IF(INDEX(Pedidos_DB!C:C,3+MATCH($D$2,Pedidos_DB!C4:C110,0)+21)&lt;&gt;$D$2,"",INDEX(Pedidos_DB!G:G,3+MATCH($D$2,Pedidos_DB!C4:C110,0)+21)),"")</f>
        <v/>
      </c>
      <c r="H31" s="15" t="str">
        <f>IFERROR(IF(INDEX(Pedidos_DB!C:C,3+MATCH($D$2,Pedidos_DB!C4:C110,0)+21)&lt;&gt;$D$2,"",INDEX(Pedidos_DB!H:H,3+MATCH($D$2,Pedidos_DB!C4:C110,0)+21)),"")</f>
        <v/>
      </c>
    </row>
    <row r="32" spans="2:8" ht="13.5" customHeight="1" x14ac:dyDescent="0.25">
      <c r="B32" s="16" t="str">
        <f>IFERROR(IF(INDEX(Pedidos_DB!C:C,3+MATCH($D$2,Pedidos_DB!C4:C110,0)+22)&lt;&gt;$D$2,"",INDEX(Pedidos_DB!B:B,3+MATCH($D$2,Pedidos_DB!C4:C110,0)+22)),"")</f>
        <v/>
      </c>
      <c r="C32" s="16" t="str">
        <f>IFERROR(IF(INDEX(Pedidos_DB!C:C,3+MATCH($D$2,Pedidos_DB!C4:C110,0)+22)&lt;&gt;$D$2,"",INDEX(Pedidos_DB!C:C,3+MATCH($D$2,Pedidos_DB!C4:C110,0)+22)),"")</f>
        <v/>
      </c>
      <c r="D32" s="17" t="str">
        <f>IFERROR(IF(INDEX(Pedidos_DB!C:C,3+MATCH($D$2,Pedidos_DB!C4:C110,0)+22)&lt;&gt;$D$2,"",INDEX(Pedidos_DB!D:D,3+MATCH($D$2,Pedidos_DB!C4:C110,0)+22)),"")</f>
        <v/>
      </c>
      <c r="E32" s="17" t="str">
        <f>IFERROR(IF(INDEX(Pedidos_DB!C:C,3+MATCH($D$2,Pedidos_DB!C4:C110,0)+22)&lt;&gt;$D$2,"",INDEX(Pedidos_DB!E:E,3+MATCH($D$2,Pedidos_DB!C4:C110,0)+22)),"")</f>
        <v/>
      </c>
      <c r="F32" s="16" t="str">
        <f>IFERROR(IF(INDEX(Pedidos_DB!C:C,3+MATCH($D$2,Pedidos_DB!C4:C110,0)+22)&lt;&gt;$D$2,"",INDEX(Pedidos_DB!F:F,3+MATCH($D$2,Pedidos_DB!C4:C110,0)+22)),"")</f>
        <v/>
      </c>
      <c r="G32" s="5" t="str">
        <f>IFERROR(IF(INDEX(Pedidos_DB!C:C,3+MATCH($D$2,Pedidos_DB!C4:C110,0)+22)&lt;&gt;$D$2,"",INDEX(Pedidos_DB!G:G,3+MATCH($D$2,Pedidos_DB!C4:C110,0)+22)),"")</f>
        <v/>
      </c>
      <c r="H32" s="16" t="str">
        <f>IFERROR(IF(INDEX(Pedidos_DB!C:C,3+MATCH($D$2,Pedidos_DB!C4:C110,0)+22)&lt;&gt;$D$2,"",INDEX(Pedidos_DB!H:H,3+MATCH($D$2,Pedidos_DB!C4:C110,0)+22)),"")</f>
        <v/>
      </c>
    </row>
    <row r="33" spans="2:8" ht="13.5" customHeight="1" x14ac:dyDescent="0.25">
      <c r="B33" s="15" t="str">
        <f>IFERROR(IF(INDEX(Pedidos_DB!C:C,3+MATCH($D$2,Pedidos_DB!C4:C110,0)+23)&lt;&gt;$D$2,"",INDEX(Pedidos_DB!B:B,3+MATCH($D$2,Pedidos_DB!C4:C110,0)+23)),"")</f>
        <v/>
      </c>
      <c r="C33" s="15" t="str">
        <f>IFERROR(IF(INDEX(Pedidos_DB!C:C,3+MATCH($D$2,Pedidos_DB!C4:C110,0)+23)&lt;&gt;$D$2,"",INDEX(Pedidos_DB!C:C,3+MATCH($D$2,Pedidos_DB!C4:C110,0)+23)),"")</f>
        <v/>
      </c>
      <c r="D33" s="18" t="str">
        <f>IFERROR(IF(INDEX(Pedidos_DB!C:C,3+MATCH($D$2,Pedidos_DB!C4:C110,0)+23)&lt;&gt;$D$2,"",INDEX(Pedidos_DB!D:D,3+MATCH($D$2,Pedidos_DB!C4:C110,0)+23)),"")</f>
        <v/>
      </c>
      <c r="E33" s="18" t="str">
        <f>IFERROR(IF(INDEX(Pedidos_DB!C:C,3+MATCH($D$2,Pedidos_DB!C4:C110,0)+23)&lt;&gt;$D$2,"",INDEX(Pedidos_DB!E:E,3+MATCH($D$2,Pedidos_DB!C4:C110,0)+23)),"")</f>
        <v/>
      </c>
      <c r="F33" s="15" t="str">
        <f>IFERROR(IF(INDEX(Pedidos_DB!C:C,3+MATCH($D$2,Pedidos_DB!C4:C110,0)+23)&lt;&gt;$D$2,"",INDEX(Pedidos_DB!F:F,3+MATCH($D$2,Pedidos_DB!C4:C110,0)+23)),"")</f>
        <v/>
      </c>
      <c r="G33" s="8" t="str">
        <f>IFERROR(IF(INDEX(Pedidos_DB!C:C,3+MATCH($D$2,Pedidos_DB!C4:C110,0)+23)&lt;&gt;$D$2,"",INDEX(Pedidos_DB!G:G,3+MATCH($D$2,Pedidos_DB!C4:C110,0)+23)),"")</f>
        <v/>
      </c>
      <c r="H33" s="15" t="str">
        <f>IFERROR(IF(INDEX(Pedidos_DB!C:C,3+MATCH($D$2,Pedidos_DB!C4:C110,0)+23)&lt;&gt;$D$2,"",INDEX(Pedidos_DB!H:H,3+MATCH($D$2,Pedidos_DB!C4:C110,0)+23)),"")</f>
        <v/>
      </c>
    </row>
    <row r="34" spans="2:8" ht="13.5" customHeight="1" x14ac:dyDescent="0.25">
      <c r="B34" s="16" t="str">
        <f>IFERROR(IF(INDEX(Pedidos_DB!C:C,3+MATCH($D$2,Pedidos_DB!C4:C110,0)+24)&lt;&gt;$D$2,"",INDEX(Pedidos_DB!B:B,3+MATCH($D$2,Pedidos_DB!C4:C110,0)+24)),"")</f>
        <v/>
      </c>
      <c r="C34" s="16" t="str">
        <f>IFERROR(IF(INDEX(Pedidos_DB!C:C,3+MATCH($D$2,Pedidos_DB!C4:C110,0)+24)&lt;&gt;$D$2,"",INDEX(Pedidos_DB!C:C,3+MATCH($D$2,Pedidos_DB!C4:C110,0)+24)),"")</f>
        <v/>
      </c>
      <c r="D34" s="17" t="str">
        <f>IFERROR(IF(INDEX(Pedidos_DB!C:C,3+MATCH($D$2,Pedidos_DB!C4:C110,0)+24)&lt;&gt;$D$2,"",INDEX(Pedidos_DB!D:D,3+MATCH($D$2,Pedidos_DB!C4:C110,0)+24)),"")</f>
        <v/>
      </c>
      <c r="E34" s="17" t="str">
        <f>IFERROR(IF(INDEX(Pedidos_DB!C:C,3+MATCH($D$2,Pedidos_DB!C4:C110,0)+24)&lt;&gt;$D$2,"",INDEX(Pedidos_DB!E:E,3+MATCH($D$2,Pedidos_DB!C4:C110,0)+24)),"")</f>
        <v/>
      </c>
      <c r="F34" s="16" t="str">
        <f>IFERROR(IF(INDEX(Pedidos_DB!C:C,3+MATCH($D$2,Pedidos_DB!C4:C110,0)+24)&lt;&gt;$D$2,"",INDEX(Pedidos_DB!F:F,3+MATCH($D$2,Pedidos_DB!C4:C110,0)+24)),"")</f>
        <v/>
      </c>
      <c r="G34" s="5" t="str">
        <f>IFERROR(IF(INDEX(Pedidos_DB!C:C,3+MATCH($D$2,Pedidos_DB!C4:C110,0)+24)&lt;&gt;$D$2,"",INDEX(Pedidos_DB!G:G,3+MATCH($D$2,Pedidos_DB!C4:C110,0)+24)),"")</f>
        <v/>
      </c>
      <c r="H34" s="16" t="str">
        <f>IFERROR(IF(INDEX(Pedidos_DB!C:C,3+MATCH($D$2,Pedidos_DB!C4:C110,0)+24)&lt;&gt;$D$2,"",INDEX(Pedidos_DB!H:H,3+MATCH($D$2,Pedidos_DB!C4:C110,0)+24)),"")</f>
        <v/>
      </c>
    </row>
    <row r="35" spans="2:8" ht="6" customHeight="1" x14ac:dyDescent="0.25"/>
  </sheetData>
  <mergeCells count="22">
    <mergeCell ref="B4:C4"/>
    <mergeCell ref="J13:K13"/>
    <mergeCell ref="K6:L6"/>
    <mergeCell ref="B5:C5"/>
    <mergeCell ref="D5:E5"/>
    <mergeCell ref="H5:I5"/>
    <mergeCell ref="B1:L1"/>
    <mergeCell ref="D6:E6"/>
    <mergeCell ref="B2:C2"/>
    <mergeCell ref="J14:K14"/>
    <mergeCell ref="H6:I6"/>
    <mergeCell ref="F5:G5"/>
    <mergeCell ref="K5:L5"/>
    <mergeCell ref="K4:L4"/>
    <mergeCell ref="D4:E4"/>
    <mergeCell ref="B6:C6"/>
    <mergeCell ref="B8:H8"/>
    <mergeCell ref="D2:F2"/>
    <mergeCell ref="F4:G4"/>
    <mergeCell ref="G2:J2"/>
    <mergeCell ref="F6:G6"/>
    <mergeCell ref="H4:I4"/>
  </mergeCells>
  <dataValidations count="1">
    <dataValidation type="list" sqref="D2" xr:uid="{00000000-0002-0000-0100-000000000000}">
      <formula1>"Janeiro,Fevereiro,Março,Abril,Maio,Junho,Julho,Agosto,Setembro,Outubro,Novembro,Dezembro"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B1:K30"/>
  <sheetViews>
    <sheetView showGridLines="0" zoomScaleNormal="100" workbookViewId="0">
      <selection activeCell="E27" sqref="E27"/>
    </sheetView>
  </sheetViews>
  <sheetFormatPr defaultColWidth="8.7109375" defaultRowHeight="15" x14ac:dyDescent="0.25"/>
  <cols>
    <col min="1" max="1" width="1.5703125" customWidth="1"/>
    <col min="2" max="2" width="14" customWidth="1"/>
    <col min="3" max="4" width="26" customWidth="1"/>
    <col min="5" max="5" width="14" customWidth="1"/>
    <col min="6" max="6" width="10" customWidth="1"/>
    <col min="7" max="7" width="14" customWidth="1"/>
    <col min="8" max="8" width="2" customWidth="1"/>
    <col min="9" max="10" width="16" customWidth="1"/>
    <col min="11" max="11" width="14" customWidth="1"/>
  </cols>
  <sheetData>
    <row r="1" spans="2:11" ht="31.5" customHeight="1" x14ac:dyDescent="0.25">
      <c r="B1" s="63" t="s">
        <v>30</v>
      </c>
      <c r="C1" s="59"/>
      <c r="D1" s="59"/>
      <c r="E1" s="59"/>
      <c r="F1" s="59"/>
      <c r="G1" s="59"/>
      <c r="H1" s="59"/>
      <c r="I1" s="59"/>
      <c r="J1" s="59"/>
      <c r="K1" s="59"/>
    </row>
    <row r="2" spans="2:11" ht="24" customHeight="1" x14ac:dyDescent="0.25">
      <c r="B2" s="64" t="s">
        <v>0</v>
      </c>
      <c r="C2" s="59"/>
      <c r="D2" s="121" t="s">
        <v>31</v>
      </c>
      <c r="E2" s="122"/>
      <c r="F2" s="122"/>
      <c r="G2" s="58" t="s">
        <v>2</v>
      </c>
      <c r="H2" s="59"/>
      <c r="I2" s="59"/>
      <c r="J2" s="59"/>
    </row>
    <row r="3" spans="2:11" ht="6" customHeight="1" x14ac:dyDescent="0.25"/>
    <row r="4" spans="2:11" ht="19.5" customHeight="1" x14ac:dyDescent="0.25">
      <c r="B4" s="146" t="s">
        <v>32</v>
      </c>
      <c r="C4" s="147"/>
      <c r="D4" s="147"/>
      <c r="E4" s="149" t="s">
        <v>33</v>
      </c>
      <c r="F4" s="150"/>
      <c r="G4" s="150"/>
      <c r="H4" s="152" t="s">
        <v>34</v>
      </c>
      <c r="I4" s="153"/>
      <c r="J4" s="155" t="s">
        <v>35</v>
      </c>
      <c r="K4" s="135"/>
    </row>
    <row r="5" spans="2:11" ht="30" customHeight="1" x14ac:dyDescent="0.25">
      <c r="B5" s="62">
        <f>SUMIF(Despesas_DB!C4:C99,$D$2,Despesas_DB!H4:H99)</f>
        <v>3890</v>
      </c>
      <c r="C5" s="59"/>
      <c r="D5" s="59"/>
      <c r="E5" s="66">
        <f>COUNTIF(Despesas_DB!C4:C99,$D$2)</f>
        <v>17</v>
      </c>
      <c r="F5" s="59"/>
      <c r="G5" s="59"/>
      <c r="H5" s="62">
        <f ca="1">IFERROR(_xludf.maxifs(Despesas_DB!H4:H99,Despesas_DB!C4:C99,$D$2),0)</f>
        <v>0</v>
      </c>
      <c r="I5" s="59"/>
      <c r="J5" s="62">
        <f>IFERROR(B5/D5,0)</f>
        <v>0</v>
      </c>
      <c r="K5" s="59"/>
    </row>
    <row r="6" spans="2:11" ht="19.5" customHeight="1" x14ac:dyDescent="0.25">
      <c r="B6" s="148"/>
      <c r="C6" s="147"/>
      <c r="D6" s="147"/>
      <c r="E6" s="151"/>
      <c r="F6" s="150"/>
      <c r="G6" s="150"/>
      <c r="H6" s="154"/>
      <c r="I6" s="153"/>
      <c r="J6" s="156"/>
      <c r="K6" s="135"/>
    </row>
    <row r="7" spans="2:11" ht="6" customHeight="1" x14ac:dyDescent="0.25"/>
    <row r="8" spans="2:11" ht="19.5" customHeight="1" x14ac:dyDescent="0.25">
      <c r="B8" s="67" t="s">
        <v>36</v>
      </c>
      <c r="C8" s="59"/>
      <c r="D8" s="59"/>
      <c r="E8" s="59"/>
      <c r="F8" s="59"/>
      <c r="G8" s="59"/>
      <c r="I8" s="67" t="s">
        <v>37</v>
      </c>
      <c r="J8" s="59"/>
      <c r="K8" s="59"/>
    </row>
    <row r="9" spans="2:11" ht="18" customHeight="1" x14ac:dyDescent="0.25">
      <c r="B9" s="2" t="s">
        <v>19</v>
      </c>
      <c r="C9" s="2" t="s">
        <v>38</v>
      </c>
      <c r="D9" s="2" t="s">
        <v>22</v>
      </c>
      <c r="E9" s="2" t="s">
        <v>39</v>
      </c>
      <c r="F9" s="2" t="s">
        <v>11</v>
      </c>
      <c r="G9" s="2" t="s">
        <v>40</v>
      </c>
      <c r="I9" s="2" t="s">
        <v>41</v>
      </c>
      <c r="J9" s="2" t="s">
        <v>40</v>
      </c>
      <c r="K9" s="2" t="s">
        <v>42</v>
      </c>
    </row>
    <row r="10" spans="2:11" ht="13.5" customHeight="1" x14ac:dyDescent="0.25">
      <c r="B10" s="16" t="str">
        <f>IFERROR(IF(INDEX(Despesas_DB!C:C,3+MATCH($D$2,Despesas_DB!C4:C99,0)+0)&lt;&gt;$D$2,"",INDEX(Despesas_DB!B:B,3+MATCH($D$2,Despesas_DB!C4:C99,0)+0)),"")</f>
        <v>2024-10-01</v>
      </c>
      <c r="C10" s="17" t="str">
        <f>IFERROR(IF(INDEX(Despesas_DB!C:C,3+MATCH($D$2,Despesas_DB!C4:C99,0)+0)&lt;&gt;$D$2,"",INDEX(Despesas_DB!D:D,3+MATCH($D$2,Despesas_DB!C4:C99,0)+0)),"")</f>
        <v>Compra de Óleo</v>
      </c>
      <c r="D10" s="17" t="str">
        <f>IFERROR(IF(INDEX(Despesas_DB!C:C,3+MATCH($D$2,Despesas_DB!C4:C99,0)+0)&lt;&gt;$D$2,"",INDEX(Despesas_DB!E:E,3+MATCH($D$2,Despesas_DB!C4:C99,0)+0)),"")</f>
        <v>Óleo de Rícino</v>
      </c>
      <c r="E10" s="5">
        <f>IFERROR(IF(INDEX(Despesas_DB!C:C,3+MATCH($D$2,Despesas_DB!C4:C99,0)+0)&lt;&gt;$D$2,"",INDEX(Despesas_DB!F:F,3+MATCH($D$2,Despesas_DB!C4:C99,0)+0)),"")</f>
        <v>12</v>
      </c>
      <c r="F10" s="16">
        <f>IFERROR(IF(INDEX(Despesas_DB!C:C,3+MATCH($D$2,Despesas_DB!C4:C99,0)+0)&lt;&gt;$D$2,"",INDEX(Despesas_DB!G:G,3+MATCH($D$2,Despesas_DB!C4:C99,0)+0)),"")</f>
        <v>30</v>
      </c>
      <c r="G10" s="5">
        <f>IFERROR(IF(INDEX(Despesas_DB!C:C,3+MATCH($D$2,Despesas_DB!C4:C99,0)+0)&lt;&gt;$D$2,"",INDEX(Despesas_DB!H:H,3+MATCH($D$2,Despesas_DB!C4:C99,0)+0)),"")</f>
        <v>360</v>
      </c>
      <c r="I10" s="19" t="s">
        <v>43</v>
      </c>
      <c r="J10" s="20">
        <f>SUMPRODUCT((Despesas_DB!C4:C99=$D$2)*(ISNUMBER(SEARCH(I10,Despesas_DB!E4:E99))*Despesas_DB!H4:H99))</f>
        <v>720</v>
      </c>
      <c r="K10" s="21">
        <f>IFERROR(J10/B5,0)</f>
        <v>0.18508997429305912</v>
      </c>
    </row>
    <row r="11" spans="2:11" ht="13.5" customHeight="1" x14ac:dyDescent="0.25">
      <c r="B11" s="15" t="str">
        <f>IFERROR(IF(INDEX(Despesas_DB!C:C,3+MATCH($D$2,Despesas_DB!C4:C99,0)+1)&lt;&gt;$D$2,"",INDEX(Despesas_DB!B:B,3+MATCH($D$2,Despesas_DB!C4:C99,0)+1)),"")</f>
        <v>2024-10-02</v>
      </c>
      <c r="C11" s="18" t="str">
        <f>IFERROR(IF(INDEX(Despesas_DB!C:C,3+MATCH($D$2,Despesas_DB!C4:C99,0)+1)&lt;&gt;$D$2,"",INDEX(Despesas_DB!D:D,3+MATCH($D$2,Despesas_DB!C4:C99,0)+1)),"")</f>
        <v>Compra de Creme de Pentear</v>
      </c>
      <c r="D11" s="18" t="str">
        <f>IFERROR(IF(INDEX(Despesas_DB!C:C,3+MATCH($D$2,Despesas_DB!C4:C99,0)+1)&lt;&gt;$D$2,"",INDEX(Despesas_DB!E:E,3+MATCH($D$2,Despesas_DB!C4:C99,0)+1)),"")</f>
        <v>Creme de Pentear Antifrizz</v>
      </c>
      <c r="E11" s="8">
        <f>IFERROR(IF(INDEX(Despesas_DB!C:C,3+MATCH($D$2,Despesas_DB!C4:C99,0)+1)&lt;&gt;$D$2,"",INDEX(Despesas_DB!F:F,3+MATCH($D$2,Despesas_DB!C4:C99,0)+1)),"")</f>
        <v>10</v>
      </c>
      <c r="F11" s="15">
        <f>IFERROR(IF(INDEX(Despesas_DB!C:C,3+MATCH($D$2,Despesas_DB!C4:C99,0)+1)&lt;&gt;$D$2,"",INDEX(Despesas_DB!G:G,3+MATCH($D$2,Despesas_DB!C4:C99,0)+1)),"")</f>
        <v>20</v>
      </c>
      <c r="G11" s="8">
        <f>IFERROR(IF(INDEX(Despesas_DB!C:C,3+MATCH($D$2,Despesas_DB!C4:C99,0)+1)&lt;&gt;$D$2,"",INDEX(Despesas_DB!H:H,3+MATCH($D$2,Despesas_DB!C4:C99,0)+1)),"")</f>
        <v>200</v>
      </c>
      <c r="I11" s="6" t="s">
        <v>44</v>
      </c>
      <c r="J11" s="7">
        <f>SUMPRODUCT((Despesas_DB!C4:C99=$D$2)*(ISNUMBER(SEARCH(I11,Despesas_DB!E4:E99))*Despesas_DB!H4:H99))</f>
        <v>670</v>
      </c>
      <c r="K11" s="22">
        <f>IFERROR(J11/B5,0)</f>
        <v>0.17223650385604114</v>
      </c>
    </row>
    <row r="12" spans="2:11" ht="13.5" customHeight="1" x14ac:dyDescent="0.25">
      <c r="B12" s="16" t="str">
        <f>IFERROR(IF(INDEX(Despesas_DB!C:C,3+MATCH($D$2,Despesas_DB!C4:C99,0)+2)&lt;&gt;$D$2,"",INDEX(Despesas_DB!B:B,3+MATCH($D$2,Despesas_DB!C4:C99,0)+2)),"")</f>
        <v>2024-10-03</v>
      </c>
      <c r="C12" s="17" t="str">
        <f>IFERROR(IF(INDEX(Despesas_DB!C:C,3+MATCH($D$2,Despesas_DB!C4:C99,0)+2)&lt;&gt;$D$2,"",INDEX(Despesas_DB!D:D,3+MATCH($D$2,Despesas_DB!C4:C99,0)+2)),"")</f>
        <v>Compra de Creme de Pentear</v>
      </c>
      <c r="D12" s="17" t="str">
        <f>IFERROR(IF(INDEX(Despesas_DB!C:C,3+MATCH($D$2,Despesas_DB!C4:C99,0)+2)&lt;&gt;$D$2,"",INDEX(Despesas_DB!E:E,3+MATCH($D$2,Despesas_DB!C4:C99,0)+2)),"")</f>
        <v>Creme de Pentear Hidratante</v>
      </c>
      <c r="E12" s="5">
        <f>IFERROR(IF(INDEX(Despesas_DB!C:C,3+MATCH($D$2,Despesas_DB!C4:C99,0)+2)&lt;&gt;$D$2,"",INDEX(Despesas_DB!F:F,3+MATCH($D$2,Despesas_DB!C4:C99,0)+2)),"")</f>
        <v>13</v>
      </c>
      <c r="F12" s="16">
        <f>IFERROR(IF(INDEX(Despesas_DB!C:C,3+MATCH($D$2,Despesas_DB!C4:C99,0)+2)&lt;&gt;$D$2,"",INDEX(Despesas_DB!G:G,3+MATCH($D$2,Despesas_DB!C4:C99,0)+2)),"")</f>
        <v>10</v>
      </c>
      <c r="G12" s="5">
        <f>IFERROR(IF(INDEX(Despesas_DB!C:C,3+MATCH($D$2,Despesas_DB!C4:C99,0)+2)&lt;&gt;$D$2,"",INDEX(Despesas_DB!H:H,3+MATCH($D$2,Despesas_DB!C4:C99,0)+2)),"")</f>
        <v>130</v>
      </c>
      <c r="I12" s="19" t="s">
        <v>45</v>
      </c>
      <c r="J12" s="20">
        <f>SUMPRODUCT((Despesas_DB!C4:C99=$D$2)*(ISNUMBER(SEARCH(I12,Despesas_DB!E4:E99))*Despesas_DB!H4:H99))</f>
        <v>60</v>
      </c>
      <c r="K12" s="21">
        <f>IFERROR(J12/B5,0)</f>
        <v>1.5424164524421594E-2</v>
      </c>
    </row>
    <row r="13" spans="2:11" ht="13.5" customHeight="1" x14ac:dyDescent="0.25">
      <c r="B13" s="15" t="str">
        <f>IFERROR(IF(INDEX(Despesas_DB!C:C,3+MATCH($D$2,Despesas_DB!C4:C99,0)+3)&lt;&gt;$D$2,"",INDEX(Despesas_DB!B:B,3+MATCH($D$2,Despesas_DB!C4:C99,0)+3)),"")</f>
        <v>2024-10-05</v>
      </c>
      <c r="C13" s="18" t="str">
        <f>IFERROR(IF(INDEX(Despesas_DB!C:C,3+MATCH($D$2,Despesas_DB!C4:C99,0)+3)&lt;&gt;$D$2,"",INDEX(Despesas_DB!D:D,3+MATCH($D$2,Despesas_DB!C4:C99,0)+3)),"")</f>
        <v>Compra de Shampoo</v>
      </c>
      <c r="D13" s="18" t="str">
        <f>IFERROR(IF(INDEX(Despesas_DB!C:C,3+MATCH($D$2,Despesas_DB!C4:C99,0)+3)&lt;&gt;$D$2,"",INDEX(Despesas_DB!E:E,3+MATCH($D$2,Despesas_DB!C4:C99,0)+3)),"")</f>
        <v>Shampoo Detox</v>
      </c>
      <c r="E13" s="8">
        <f>IFERROR(IF(INDEX(Despesas_DB!C:C,3+MATCH($D$2,Despesas_DB!C4:C99,0)+3)&lt;&gt;$D$2,"",INDEX(Despesas_DB!F:F,3+MATCH($D$2,Despesas_DB!C4:C99,0)+3)),"")</f>
        <v>14</v>
      </c>
      <c r="F13" s="15">
        <f>IFERROR(IF(INDEX(Despesas_DB!C:C,3+MATCH($D$2,Despesas_DB!C4:C99,0)+3)&lt;&gt;$D$2,"",INDEX(Despesas_DB!G:G,3+MATCH($D$2,Despesas_DB!C4:C99,0)+3)),"")</f>
        <v>20</v>
      </c>
      <c r="G13" s="8">
        <f>IFERROR(IF(INDEX(Despesas_DB!C:C,3+MATCH($D$2,Despesas_DB!C4:C99,0)+3)&lt;&gt;$D$2,"",INDEX(Despesas_DB!H:H,3+MATCH($D$2,Despesas_DB!C4:C99,0)+3)),"")</f>
        <v>280</v>
      </c>
      <c r="I13" s="6" t="s">
        <v>46</v>
      </c>
      <c r="J13" s="7">
        <f>SUMPRODUCT((Despesas_DB!C4:C99=$D$2)*(ISNUMBER(SEARCH(I13,Despesas_DB!E4:E99))*Despesas_DB!H4:H99))</f>
        <v>300</v>
      </c>
      <c r="K13" s="22">
        <f>IFERROR(J13/B5,0)</f>
        <v>7.7120822622107968E-2</v>
      </c>
    </row>
    <row r="14" spans="2:11" ht="13.5" customHeight="1" x14ac:dyDescent="0.25">
      <c r="B14" s="16" t="str">
        <f>IFERROR(IF(INDEX(Despesas_DB!C:C,3+MATCH($D$2,Despesas_DB!C4:C99,0)+4)&lt;&gt;$D$2,"",INDEX(Despesas_DB!B:B,3+MATCH($D$2,Despesas_DB!C4:C99,0)+4)),"")</f>
        <v>2024-10-06</v>
      </c>
      <c r="C14" s="17" t="str">
        <f>IFERROR(IF(INDEX(Despesas_DB!C:C,3+MATCH($D$2,Despesas_DB!C4:C99,0)+4)&lt;&gt;$D$2,"",INDEX(Despesas_DB!D:D,3+MATCH($D$2,Despesas_DB!C4:C99,0)+4)),"")</f>
        <v>Compra de Shampoo</v>
      </c>
      <c r="D14" s="17" t="str">
        <f>IFERROR(IF(INDEX(Despesas_DB!C:C,3+MATCH($D$2,Despesas_DB!C4:C99,0)+4)&lt;&gt;$D$2,"",INDEX(Despesas_DB!E:E,3+MATCH($D$2,Despesas_DB!C4:C99,0)+4)),"")</f>
        <v>Shampoo Antirresíduos</v>
      </c>
      <c r="E14" s="5">
        <f>IFERROR(IF(INDEX(Despesas_DB!C:C,3+MATCH($D$2,Despesas_DB!C4:C99,0)+4)&lt;&gt;$D$2,"",INDEX(Despesas_DB!F:F,3+MATCH($D$2,Despesas_DB!C4:C99,0)+4)),"")</f>
        <v>17</v>
      </c>
      <c r="F14" s="16">
        <f>IFERROR(IF(INDEX(Despesas_DB!C:C,3+MATCH($D$2,Despesas_DB!C4:C99,0)+4)&lt;&gt;$D$2,"",INDEX(Despesas_DB!G:G,3+MATCH($D$2,Despesas_DB!C4:C99,0)+4)),"")</f>
        <v>10</v>
      </c>
      <c r="G14" s="5">
        <f>IFERROR(IF(INDEX(Despesas_DB!C:C,3+MATCH($D$2,Despesas_DB!C4:C99,0)+4)&lt;&gt;$D$2,"",INDEX(Despesas_DB!H:H,3+MATCH($D$2,Despesas_DB!C4:C99,0)+4)),"")</f>
        <v>170</v>
      </c>
      <c r="I14" s="19" t="s">
        <v>47</v>
      </c>
      <c r="J14" s="20">
        <f>SUMPRODUCT((Despesas_DB!C4:C99=$D$2)*(ISNUMBER(SEARCH(I14,Despesas_DB!E4:E99))*Despesas_DB!H4:H99))</f>
        <v>1150</v>
      </c>
      <c r="K14" s="21">
        <f>IFERROR(J14/B5,0)</f>
        <v>0.29562982005141386</v>
      </c>
    </row>
    <row r="15" spans="2:11" ht="13.5" customHeight="1" x14ac:dyDescent="0.25">
      <c r="B15" s="15" t="str">
        <f>IFERROR(IF(INDEX(Despesas_DB!C:C,3+MATCH($D$2,Despesas_DB!C4:C99,0)+5)&lt;&gt;$D$2,"",INDEX(Despesas_DB!B:B,3+MATCH($D$2,Despesas_DB!C4:C99,0)+5)),"")</f>
        <v>2024-10-07</v>
      </c>
      <c r="C15" s="18" t="str">
        <f>IFERROR(IF(INDEX(Despesas_DB!C:C,3+MATCH($D$2,Despesas_DB!C4:C99,0)+5)&lt;&gt;$D$2,"",INDEX(Despesas_DB!D:D,3+MATCH($D$2,Despesas_DB!C4:C99,0)+5)),"")</f>
        <v>Compra de Shampoo</v>
      </c>
      <c r="D15" s="18" t="str">
        <f>IFERROR(IF(INDEX(Despesas_DB!C:C,3+MATCH($D$2,Despesas_DB!C4:C99,0)+5)&lt;&gt;$D$2,"",INDEX(Despesas_DB!E:E,3+MATCH($D$2,Despesas_DB!C4:C99,0)+5)),"")</f>
        <v>Shampoo Reparador</v>
      </c>
      <c r="E15" s="8">
        <f>IFERROR(IF(INDEX(Despesas_DB!C:C,3+MATCH($D$2,Despesas_DB!C4:C99,0)+5)&lt;&gt;$D$2,"",INDEX(Despesas_DB!F:F,3+MATCH($D$2,Despesas_DB!C4:C99,0)+5)),"")</f>
        <v>18</v>
      </c>
      <c r="F15" s="15">
        <f>IFERROR(IF(INDEX(Despesas_DB!C:C,3+MATCH($D$2,Despesas_DB!C4:C99,0)+5)&lt;&gt;$D$2,"",INDEX(Despesas_DB!G:G,3+MATCH($D$2,Despesas_DB!C4:C99,0)+5)),"")</f>
        <v>15</v>
      </c>
      <c r="G15" s="8">
        <f>IFERROR(IF(INDEX(Despesas_DB!C:C,3+MATCH($D$2,Despesas_DB!C4:C99,0)+5)&lt;&gt;$D$2,"",INDEX(Despesas_DB!H:H,3+MATCH($D$2,Despesas_DB!C4:C99,0)+5)),"")</f>
        <v>270</v>
      </c>
      <c r="I15" s="6" t="s">
        <v>48</v>
      </c>
      <c r="J15" s="7">
        <f>SUMPRODUCT((Despesas_DB!C4:C99=$D$2)*(ISNUMBER(SEARCH(I15,Despesas_DB!E4:E99))*Despesas_DB!H4:H99))</f>
        <v>560</v>
      </c>
      <c r="K15" s="22">
        <f>IFERROR(J15/B5,0)</f>
        <v>0.14395886889460155</v>
      </c>
    </row>
    <row r="16" spans="2:11" ht="13.5" customHeight="1" x14ac:dyDescent="0.25">
      <c r="B16" s="16" t="str">
        <f>IFERROR(IF(INDEX(Despesas_DB!C:C,3+MATCH($D$2,Despesas_DB!C4:C99,0)+6)&lt;&gt;$D$2,"",INDEX(Despesas_DB!B:B,3+MATCH($D$2,Despesas_DB!C4:C99,0)+6)),"")</f>
        <v>2024-10-08</v>
      </c>
      <c r="C16" s="17" t="str">
        <f>IFERROR(IF(INDEX(Despesas_DB!C:C,3+MATCH($D$2,Despesas_DB!C4:C99,0)+6)&lt;&gt;$D$2,"",INDEX(Despesas_DB!D:D,3+MATCH($D$2,Despesas_DB!C4:C99,0)+6)),"")</f>
        <v>Compra de Condicionador</v>
      </c>
      <c r="D16" s="17" t="str">
        <f>IFERROR(IF(INDEX(Despesas_DB!C:C,3+MATCH($D$2,Despesas_DB!C4:C99,0)+6)&lt;&gt;$D$2,"",INDEX(Despesas_DB!E:E,3+MATCH($D$2,Despesas_DB!C4:C99,0)+6)),"")</f>
        <v>Condicionador Revitalizante</v>
      </c>
      <c r="E16" s="5">
        <f>IFERROR(IF(INDEX(Despesas_DB!C:C,3+MATCH($D$2,Despesas_DB!C4:C99,0)+6)&lt;&gt;$D$2,"",INDEX(Despesas_DB!F:F,3+MATCH($D$2,Despesas_DB!C4:C99,0)+6)),"")</f>
        <v>17</v>
      </c>
      <c r="F16" s="16">
        <f>IFERROR(IF(INDEX(Despesas_DB!C:C,3+MATCH($D$2,Despesas_DB!C4:C99,0)+6)&lt;&gt;$D$2,"",INDEX(Despesas_DB!G:G,3+MATCH($D$2,Despesas_DB!C4:C99,0)+6)),"")</f>
        <v>15</v>
      </c>
      <c r="G16" s="5">
        <f>IFERROR(IF(INDEX(Despesas_DB!C:C,3+MATCH($D$2,Despesas_DB!C4:C99,0)+6)&lt;&gt;$D$2,"",INDEX(Despesas_DB!H:H,3+MATCH($D$2,Despesas_DB!C4:C99,0)+6)),"")</f>
        <v>255</v>
      </c>
      <c r="I16" s="19" t="s">
        <v>49</v>
      </c>
      <c r="J16" s="20">
        <f>SUMPRODUCT((Despesas_DB!C4:C99=$D$2)*(ISNUMBER(SEARCH(I16,Despesas_DB!E4:E99))*Despesas_DB!H4:H99))</f>
        <v>430</v>
      </c>
      <c r="K16" s="21">
        <f>IFERROR(J16/B5,0)</f>
        <v>0.11053984575835475</v>
      </c>
    </row>
    <row r="17" spans="2:7" ht="13.5" customHeight="1" x14ac:dyDescent="0.25">
      <c r="B17" s="15" t="str">
        <f>IFERROR(IF(INDEX(Despesas_DB!C:C,3+MATCH($D$2,Despesas_DB!C4:C99,0)+7)&lt;&gt;$D$2,"",INDEX(Despesas_DB!B:B,3+MATCH($D$2,Despesas_DB!C4:C99,0)+7)),"")</f>
        <v>2024-10-09</v>
      </c>
      <c r="C17" s="18" t="str">
        <f>IFERROR(IF(INDEX(Despesas_DB!C:C,3+MATCH($D$2,Despesas_DB!C4:C99,0)+7)&lt;&gt;$D$2,"",INDEX(Despesas_DB!D:D,3+MATCH($D$2,Despesas_DB!C4:C99,0)+7)),"")</f>
        <v>Compra de Condicionador</v>
      </c>
      <c r="D17" s="18" t="str">
        <f>IFERROR(IF(INDEX(Despesas_DB!C:C,3+MATCH($D$2,Despesas_DB!C4:C99,0)+7)&lt;&gt;$D$2,"",INDEX(Despesas_DB!E:E,3+MATCH($D$2,Despesas_DB!C4:C99,0)+7)),"")</f>
        <v>Condicionador Nutritivo</v>
      </c>
      <c r="E17" s="8">
        <f>IFERROR(IF(INDEX(Despesas_DB!C:C,3+MATCH($D$2,Despesas_DB!C4:C99,0)+7)&lt;&gt;$D$2,"",INDEX(Despesas_DB!F:F,3+MATCH($D$2,Despesas_DB!C4:C99,0)+7)),"")</f>
        <v>15</v>
      </c>
      <c r="F17" s="15">
        <f>IFERROR(IF(INDEX(Despesas_DB!C:C,3+MATCH($D$2,Despesas_DB!C4:C99,0)+7)&lt;&gt;$D$2,"",INDEX(Despesas_DB!G:G,3+MATCH($D$2,Despesas_DB!C4:C99,0)+7)),"")</f>
        <v>15</v>
      </c>
      <c r="G17" s="8">
        <f>IFERROR(IF(INDEX(Despesas_DB!C:C,3+MATCH($D$2,Despesas_DB!C4:C99,0)+7)&lt;&gt;$D$2,"",INDEX(Despesas_DB!H:H,3+MATCH($D$2,Despesas_DB!C4:C99,0)+7)),"")</f>
        <v>225</v>
      </c>
    </row>
    <row r="18" spans="2:7" ht="13.5" customHeight="1" x14ac:dyDescent="0.25">
      <c r="B18" s="16" t="str">
        <f>IFERROR(IF(INDEX(Despesas_DB!C:C,3+MATCH($D$2,Despesas_DB!C4:C99,0)+8)&lt;&gt;$D$2,"",INDEX(Despesas_DB!B:B,3+MATCH($D$2,Despesas_DB!C4:C99,0)+8)),"")</f>
        <v>2024-10-10</v>
      </c>
      <c r="C18" s="17" t="str">
        <f>IFERROR(IF(INDEX(Despesas_DB!C:C,3+MATCH($D$2,Despesas_DB!C4:C99,0)+8)&lt;&gt;$D$2,"",INDEX(Despesas_DB!D:D,3+MATCH($D$2,Despesas_DB!C4:C99,0)+8)),"")</f>
        <v>Compra de Máscara</v>
      </c>
      <c r="D18" s="17" t="str">
        <f>IFERROR(IF(INDEX(Despesas_DB!C:C,3+MATCH($D$2,Despesas_DB!C4:C99,0)+8)&lt;&gt;$D$2,"",INDEX(Despesas_DB!E:E,3+MATCH($D$2,Despesas_DB!C4:C99,0)+8)),"")</f>
        <v>Máscara de Reconstrução</v>
      </c>
      <c r="E18" s="5">
        <f>IFERROR(IF(INDEX(Despesas_DB!C:C,3+MATCH($D$2,Despesas_DB!C4:C99,0)+8)&lt;&gt;$D$2,"",INDEX(Despesas_DB!F:F,3+MATCH($D$2,Despesas_DB!C4:C99,0)+8)),"")</f>
        <v>30</v>
      </c>
      <c r="F18" s="16">
        <f>IFERROR(IF(INDEX(Despesas_DB!C:C,3+MATCH($D$2,Despesas_DB!C4:C99,0)+8)&lt;&gt;$D$2,"",INDEX(Despesas_DB!G:G,3+MATCH($D$2,Despesas_DB!C4:C99,0)+8)),"")</f>
        <v>10</v>
      </c>
      <c r="G18" s="5">
        <f>IFERROR(IF(INDEX(Despesas_DB!C:C,3+MATCH($D$2,Despesas_DB!C4:C99,0)+8)&lt;&gt;$D$2,"",INDEX(Despesas_DB!H:H,3+MATCH($D$2,Despesas_DB!C4:C99,0)+8)),"")</f>
        <v>300</v>
      </c>
    </row>
    <row r="19" spans="2:7" ht="13.5" customHeight="1" x14ac:dyDescent="0.25">
      <c r="B19" s="15" t="str">
        <f>IFERROR(IF(INDEX(Despesas_DB!C:C,3+MATCH($D$2,Despesas_DB!C4:C99,0)+9)&lt;&gt;$D$2,"",INDEX(Despesas_DB!B:B,3+MATCH($D$2,Despesas_DB!C4:C99,0)+9)),"")</f>
        <v>2024-10-11</v>
      </c>
      <c r="C19" s="18" t="str">
        <f>IFERROR(IF(INDEX(Despesas_DB!C:C,3+MATCH($D$2,Despesas_DB!C4:C99,0)+9)&lt;&gt;$D$2,"",INDEX(Despesas_DB!D:D,3+MATCH($D$2,Despesas_DB!C4:C99,0)+9)),"")</f>
        <v>Compra de Condicionador</v>
      </c>
      <c r="D19" s="18" t="str">
        <f>IFERROR(IF(INDEX(Despesas_DB!C:C,3+MATCH($D$2,Despesas_DB!C4:C99,0)+9)&lt;&gt;$D$2,"",INDEX(Despesas_DB!E:E,3+MATCH($D$2,Despesas_DB!C4:C99,0)+9)),"")</f>
        <v>Condicionador Antifrizz</v>
      </c>
      <c r="E19" s="8">
        <f>IFERROR(IF(INDEX(Despesas_DB!C:C,3+MATCH($D$2,Despesas_DB!C4:C99,0)+9)&lt;&gt;$D$2,"",INDEX(Despesas_DB!F:F,3+MATCH($D$2,Despesas_DB!C4:C99,0)+9)),"")</f>
        <v>19</v>
      </c>
      <c r="F19" s="15">
        <f>IFERROR(IF(INDEX(Despesas_DB!C:C,3+MATCH($D$2,Despesas_DB!C4:C99,0)+9)&lt;&gt;$D$2,"",INDEX(Despesas_DB!G:G,3+MATCH($D$2,Despesas_DB!C4:C99,0)+9)),"")</f>
        <v>10</v>
      </c>
      <c r="G19" s="8">
        <f>IFERROR(IF(INDEX(Despesas_DB!C:C,3+MATCH($D$2,Despesas_DB!C4:C99,0)+9)&lt;&gt;$D$2,"",INDEX(Despesas_DB!H:H,3+MATCH($D$2,Despesas_DB!C4:C99,0)+9)),"")</f>
        <v>190</v>
      </c>
    </row>
    <row r="20" spans="2:7" ht="13.5" customHeight="1" x14ac:dyDescent="0.25">
      <c r="B20" s="16" t="str">
        <f>IFERROR(IF(INDEX(Despesas_DB!C:C,3+MATCH($D$2,Despesas_DB!C4:C99,0)+10)&lt;&gt;$D$2,"",INDEX(Despesas_DB!B:B,3+MATCH($D$2,Despesas_DB!C4:C99,0)+10)),"")</f>
        <v>2024-10-13</v>
      </c>
      <c r="C20" s="17" t="str">
        <f>IFERROR(IF(INDEX(Despesas_DB!C:C,3+MATCH($D$2,Despesas_DB!C4:C99,0)+10)&lt;&gt;$D$2,"",INDEX(Despesas_DB!D:D,3+MATCH($D$2,Despesas_DB!C4:C99,0)+10)),"")</f>
        <v>Compra de Óleo</v>
      </c>
      <c r="D20" s="17" t="str">
        <f>IFERROR(IF(INDEX(Despesas_DB!C:C,3+MATCH($D$2,Despesas_DB!C4:C99,0)+10)&lt;&gt;$D$2,"",INDEX(Despesas_DB!E:E,3+MATCH($D$2,Despesas_DB!C4:C99,0)+10)),"")</f>
        <v>Óleo de Jojoba</v>
      </c>
      <c r="E20" s="5">
        <f>IFERROR(IF(INDEX(Despesas_DB!C:C,3+MATCH($D$2,Despesas_DB!C4:C99,0)+10)&lt;&gt;$D$2,"",INDEX(Despesas_DB!F:F,3+MATCH($D$2,Despesas_DB!C4:C99,0)+10)),"")</f>
        <v>17</v>
      </c>
      <c r="F20" s="16">
        <f>IFERROR(IF(INDEX(Despesas_DB!C:C,3+MATCH($D$2,Despesas_DB!C4:C99,0)+10)&lt;&gt;$D$2,"",INDEX(Despesas_DB!G:G,3+MATCH($D$2,Despesas_DB!C4:C99,0)+10)),"")</f>
        <v>20</v>
      </c>
      <c r="G20" s="5">
        <f>IFERROR(IF(INDEX(Despesas_DB!C:C,3+MATCH($D$2,Despesas_DB!C4:C99,0)+10)&lt;&gt;$D$2,"",INDEX(Despesas_DB!H:H,3+MATCH($D$2,Despesas_DB!C4:C99,0)+10)),"")</f>
        <v>340</v>
      </c>
    </row>
    <row r="21" spans="2:7" ht="13.5" customHeight="1" x14ac:dyDescent="0.25">
      <c r="B21" s="15" t="str">
        <f>IFERROR(IF(INDEX(Despesas_DB!C:C,3+MATCH($D$2,Despesas_DB!C4:C99,0)+11)&lt;&gt;$D$2,"",INDEX(Despesas_DB!B:B,3+MATCH($D$2,Despesas_DB!C4:C99,0)+11)),"")</f>
        <v>2024-10-14</v>
      </c>
      <c r="C21" s="18" t="str">
        <f>IFERROR(IF(INDEX(Despesas_DB!C:C,3+MATCH($D$2,Despesas_DB!C4:C99,0)+11)&lt;&gt;$D$2,"",INDEX(Despesas_DB!D:D,3+MATCH($D$2,Despesas_DB!C4:C99,0)+11)),"")</f>
        <v>Compra de Leave-in</v>
      </c>
      <c r="D21" s="18" t="str">
        <f>IFERROR(IF(INDEX(Despesas_DB!C:C,3+MATCH($D$2,Despesas_DB!C4:C99,0)+11)&lt;&gt;$D$2,"",INDEX(Despesas_DB!E:E,3+MATCH($D$2,Despesas_DB!C4:C99,0)+11)),"")</f>
        <v>Leave-in Nutritivo</v>
      </c>
      <c r="E21" s="8">
        <f>IFERROR(IF(INDEX(Despesas_DB!C:C,3+MATCH($D$2,Despesas_DB!C4:C99,0)+11)&lt;&gt;$D$2,"",INDEX(Despesas_DB!F:F,3+MATCH($D$2,Despesas_DB!C4:C99,0)+11)),"")</f>
        <v>14</v>
      </c>
      <c r="F21" s="15">
        <f>IFERROR(IF(INDEX(Despesas_DB!C:C,3+MATCH($D$2,Despesas_DB!C4:C99,0)+11)&lt;&gt;$D$2,"",INDEX(Despesas_DB!G:G,3+MATCH($D$2,Despesas_DB!C4:C99,0)+11)),"")</f>
        <v>10</v>
      </c>
      <c r="G21" s="8">
        <f>IFERROR(IF(INDEX(Despesas_DB!C:C,3+MATCH($D$2,Despesas_DB!C4:C99,0)+11)&lt;&gt;$D$2,"",INDEX(Despesas_DB!H:H,3+MATCH($D$2,Despesas_DB!C4:C99,0)+11)),"")</f>
        <v>140</v>
      </c>
    </row>
    <row r="22" spans="2:7" ht="13.5" customHeight="1" x14ac:dyDescent="0.25">
      <c r="B22" s="16" t="str">
        <f>IFERROR(IF(INDEX(Despesas_DB!C:C,3+MATCH($D$2,Despesas_DB!C4:C99,0)+12)&lt;&gt;$D$2,"",INDEX(Despesas_DB!B:B,3+MATCH($D$2,Despesas_DB!C4:C99,0)+12)),"")</f>
        <v>2024-10-15</v>
      </c>
      <c r="C22" s="17" t="str">
        <f>IFERROR(IF(INDEX(Despesas_DB!C:C,3+MATCH($D$2,Despesas_DB!C4:C99,0)+12)&lt;&gt;$D$2,"",INDEX(Despesas_DB!D:D,3+MATCH($D$2,Despesas_DB!C4:C99,0)+12)),"")</f>
        <v>Compra de Leave-in</v>
      </c>
      <c r="D22" s="17" t="str">
        <f>IFERROR(IF(INDEX(Despesas_DB!C:C,3+MATCH($D$2,Despesas_DB!C4:C99,0)+12)&lt;&gt;$D$2,"",INDEX(Despesas_DB!E:E,3+MATCH($D$2,Despesas_DB!C4:C99,0)+12)),"")</f>
        <v>Leave-in para Cabelos Cacheados</v>
      </c>
      <c r="E22" s="5">
        <f>IFERROR(IF(INDEX(Despesas_DB!C:C,3+MATCH($D$2,Despesas_DB!C4:C99,0)+12)&lt;&gt;$D$2,"",INDEX(Despesas_DB!F:F,3+MATCH($D$2,Despesas_DB!C4:C99,0)+12)),"")</f>
        <v>16</v>
      </c>
      <c r="F22" s="16">
        <f>IFERROR(IF(INDEX(Despesas_DB!C:C,3+MATCH($D$2,Despesas_DB!C4:C99,0)+12)&lt;&gt;$D$2,"",INDEX(Despesas_DB!G:G,3+MATCH($D$2,Despesas_DB!C4:C99,0)+12)),"")</f>
        <v>15</v>
      </c>
      <c r="G22" s="5">
        <f>IFERROR(IF(INDEX(Despesas_DB!C:C,3+MATCH($D$2,Despesas_DB!C4:C99,0)+12)&lt;&gt;$D$2,"",INDEX(Despesas_DB!H:H,3+MATCH($D$2,Despesas_DB!C4:C99,0)+12)),"")</f>
        <v>240</v>
      </c>
    </row>
    <row r="23" spans="2:7" ht="13.5" customHeight="1" x14ac:dyDescent="0.25">
      <c r="B23" s="15" t="str">
        <f>IFERROR(IF(INDEX(Despesas_DB!C:C,3+MATCH($D$2,Despesas_DB!C4:C99,0)+13)&lt;&gt;$D$2,"",INDEX(Despesas_DB!B:B,3+MATCH($D$2,Despesas_DB!C4:C99,0)+13)),"")</f>
        <v>2024-10-16</v>
      </c>
      <c r="C23" s="18" t="str">
        <f>IFERROR(IF(INDEX(Despesas_DB!C:C,3+MATCH($D$2,Despesas_DB!C4:C99,0)+13)&lt;&gt;$D$2,"",INDEX(Despesas_DB!D:D,3+MATCH($D$2,Despesas_DB!C4:C99,0)+13)),"")</f>
        <v>Compra de Leave-in</v>
      </c>
      <c r="D23" s="18" t="str">
        <f>IFERROR(IF(INDEX(Despesas_DB!C:C,3+MATCH($D$2,Despesas_DB!C4:C99,0)+13)&lt;&gt;$D$2,"",INDEX(Despesas_DB!E:E,3+MATCH($D$2,Despesas_DB!C4:C99,0)+13)),"")</f>
        <v>Leave-in Hidratante</v>
      </c>
      <c r="E23" s="8">
        <f>IFERROR(IF(INDEX(Despesas_DB!C:C,3+MATCH($D$2,Despesas_DB!C4:C99,0)+13)&lt;&gt;$D$2,"",INDEX(Despesas_DB!F:F,3+MATCH($D$2,Despesas_DB!C4:C99,0)+13)),"")</f>
        <v>12</v>
      </c>
      <c r="F23" s="15">
        <f>IFERROR(IF(INDEX(Despesas_DB!C:C,3+MATCH($D$2,Despesas_DB!C4:C99,0)+13)&lt;&gt;$D$2,"",INDEX(Despesas_DB!G:G,3+MATCH($D$2,Despesas_DB!C4:C99,0)+13)),"")</f>
        <v>15</v>
      </c>
      <c r="G23" s="8">
        <f>IFERROR(IF(INDEX(Despesas_DB!C:C,3+MATCH($D$2,Despesas_DB!C4:C99,0)+13)&lt;&gt;$D$2,"",INDEX(Despesas_DB!H:H,3+MATCH($D$2,Despesas_DB!C4:C99,0)+13)),"")</f>
        <v>180</v>
      </c>
    </row>
    <row r="24" spans="2:7" ht="13.5" customHeight="1" x14ac:dyDescent="0.25">
      <c r="B24" s="16" t="str">
        <f>IFERROR(IF(INDEX(Despesas_DB!C:C,3+MATCH($D$2,Despesas_DB!C4:C99,0)+14)&lt;&gt;$D$2,"",INDEX(Despesas_DB!B:B,3+MATCH($D$2,Despesas_DB!C4:C99,0)+14)),"")</f>
        <v>2024-10-17</v>
      </c>
      <c r="C24" s="17" t="str">
        <f>IFERROR(IF(INDEX(Despesas_DB!C:C,3+MATCH($D$2,Despesas_DB!C4:C99,0)+14)&lt;&gt;$D$2,"",INDEX(Despesas_DB!D:D,3+MATCH($D$2,Despesas_DB!C4:C99,0)+14)),"")</f>
        <v>Compra de Creme de Pentear</v>
      </c>
      <c r="D24" s="17" t="str">
        <f>IFERROR(IF(INDEX(Despesas_DB!C:C,3+MATCH($D$2,Despesas_DB!C4:C99,0)+14)&lt;&gt;$D$2,"",INDEX(Despesas_DB!E:E,3+MATCH($D$2,Despesas_DB!C4:C99,0)+14)),"")</f>
        <v>Creme de Pentear Modelador de Cachos</v>
      </c>
      <c r="E24" s="5">
        <f>IFERROR(IF(INDEX(Despesas_DB!C:C,3+MATCH($D$2,Despesas_DB!C4:C99,0)+14)&lt;&gt;$D$2,"",INDEX(Despesas_DB!F:F,3+MATCH($D$2,Despesas_DB!C4:C99,0)+14)),"")</f>
        <v>10</v>
      </c>
      <c r="F24" s="16">
        <f>IFERROR(IF(INDEX(Despesas_DB!C:C,3+MATCH($D$2,Despesas_DB!C4:C99,0)+14)&lt;&gt;$D$2,"",INDEX(Despesas_DB!G:G,3+MATCH($D$2,Despesas_DB!C4:C99,0)+14)),"")</f>
        <v>10</v>
      </c>
      <c r="G24" s="5">
        <f>IFERROR(IF(INDEX(Despesas_DB!C:C,3+MATCH($D$2,Despesas_DB!C4:C99,0)+14)&lt;&gt;$D$2,"",INDEX(Despesas_DB!H:H,3+MATCH($D$2,Despesas_DB!C4:C99,0)+14)),"")</f>
        <v>100</v>
      </c>
    </row>
    <row r="25" spans="2:7" ht="13.5" customHeight="1" x14ac:dyDescent="0.25">
      <c r="B25" s="15" t="str">
        <f>IFERROR(IF(INDEX(Despesas_DB!C:C,3+MATCH($D$2,Despesas_DB!C4:C99,0)+15)&lt;&gt;$D$2,"",INDEX(Despesas_DB!B:B,3+MATCH($D$2,Despesas_DB!C4:C99,0)+15)),"")</f>
        <v>2024-10-18</v>
      </c>
      <c r="C25" s="18" t="str">
        <f>IFERROR(IF(INDEX(Despesas_DB!C:C,3+MATCH($D$2,Despesas_DB!C4:C99,0)+15)&lt;&gt;$D$2,"",INDEX(Despesas_DB!D:D,3+MATCH($D$2,Despesas_DB!C4:C99,0)+15)),"")</f>
        <v>Compra de Óleo</v>
      </c>
      <c r="D25" s="18" t="str">
        <f>IFERROR(IF(INDEX(Despesas_DB!C:C,3+MATCH($D$2,Despesas_DB!C4:C99,0)+15)&lt;&gt;$D$2,"",INDEX(Despesas_DB!E:E,3+MATCH($D$2,Despesas_DB!C4:C99,0)+15)),"")</f>
        <v>Óleo de Argan</v>
      </c>
      <c r="E25" s="8">
        <f>IFERROR(IF(INDEX(Despesas_DB!C:C,3+MATCH($D$2,Despesas_DB!C4:C99,0)+15)&lt;&gt;$D$2,"",INDEX(Despesas_DB!F:F,3+MATCH($D$2,Despesas_DB!C4:C99,0)+15)),"")</f>
        <v>15</v>
      </c>
      <c r="F25" s="15">
        <f>IFERROR(IF(INDEX(Despesas_DB!C:C,3+MATCH($D$2,Despesas_DB!C4:C99,0)+15)&lt;&gt;$D$2,"",INDEX(Despesas_DB!G:G,3+MATCH($D$2,Despesas_DB!C4:C99,0)+15)),"")</f>
        <v>30</v>
      </c>
      <c r="G25" s="8">
        <f>IFERROR(IF(INDEX(Despesas_DB!C:C,3+MATCH($D$2,Despesas_DB!C4:C99,0)+15)&lt;&gt;$D$2,"",INDEX(Despesas_DB!H:H,3+MATCH($D$2,Despesas_DB!C4:C99,0)+15)),"")</f>
        <v>450</v>
      </c>
    </row>
    <row r="26" spans="2:7" ht="13.5" customHeight="1" x14ac:dyDescent="0.25">
      <c r="B26" s="16" t="str">
        <f>IFERROR(IF(INDEX(Despesas_DB!C:C,3+MATCH($D$2,Despesas_DB!C4:C99,0)+16)&lt;&gt;$D$2,"",INDEX(Despesas_DB!B:B,3+MATCH($D$2,Despesas_DB!C4:C99,0)+16)),"")</f>
        <v>2024-10-20</v>
      </c>
      <c r="C26" s="17" t="str">
        <f>IFERROR(IF(INDEX(Despesas_DB!C:C,3+MATCH($D$2,Despesas_DB!C4:C99,0)+16)&lt;&gt;$D$2,"",INDEX(Despesas_DB!D:D,3+MATCH($D$2,Despesas_DB!C4:C99,0)+16)),"")</f>
        <v>Compra de Ampola</v>
      </c>
      <c r="D26" s="17" t="str">
        <f>IFERROR(IF(INDEX(Despesas_DB!C:C,3+MATCH($D$2,Despesas_DB!C4:C99,0)+16)&lt;&gt;$D$2,"",INDEX(Despesas_DB!E:E,3+MATCH($D$2,Despesas_DB!C4:C99,0)+16)),"")</f>
        <v>Ampola de Fortalecimento</v>
      </c>
      <c r="E26" s="5">
        <f>IFERROR(IF(INDEX(Despesas_DB!C:C,3+MATCH($D$2,Despesas_DB!C4:C99,0)+16)&lt;&gt;$D$2,"",INDEX(Despesas_DB!F:F,3+MATCH($D$2,Despesas_DB!C4:C99,0)+16)),"")</f>
        <v>6</v>
      </c>
      <c r="F26" s="16">
        <f>IFERROR(IF(INDEX(Despesas_DB!C:C,3+MATCH($D$2,Despesas_DB!C4:C99,0)+16)&lt;&gt;$D$2,"",INDEX(Despesas_DB!G:G,3+MATCH($D$2,Despesas_DB!C4:C99,0)+16)),"")</f>
        <v>10</v>
      </c>
      <c r="G26" s="5">
        <f>IFERROR(IF(INDEX(Despesas_DB!C:C,3+MATCH($D$2,Despesas_DB!C4:C99,0)+16)&lt;&gt;$D$2,"",INDEX(Despesas_DB!H:H,3+MATCH($D$2,Despesas_DB!C4:C99,0)+16)),"")</f>
        <v>60</v>
      </c>
    </row>
    <row r="27" spans="2:7" ht="13.5" customHeight="1" x14ac:dyDescent="0.25">
      <c r="B27" s="15" t="str">
        <f>IFERROR(IF(INDEX(Despesas_DB!C:C,3+MATCH($D$2,Despesas_DB!C4:C99,0)+17)&lt;&gt;$D$2,"",INDEX(Despesas_DB!B:B,3+MATCH($D$2,Despesas_DB!C4:C99,0)+17)),"")</f>
        <v/>
      </c>
      <c r="C27" s="18" t="str">
        <f>IFERROR(IF(INDEX(Despesas_DB!C:C,3+MATCH($D$2,Despesas_DB!C4:C99,0)+17)&lt;&gt;$D$2,"",INDEX(Despesas_DB!D:D,3+MATCH($D$2,Despesas_DB!C4:C99,0)+17)),"")</f>
        <v/>
      </c>
      <c r="D27" s="18" t="str">
        <f>IFERROR(IF(INDEX(Despesas_DB!C:C,3+MATCH($D$2,Despesas_DB!C4:C99,0)+17)&lt;&gt;$D$2,"",INDEX(Despesas_DB!E:E,3+MATCH($D$2,Despesas_DB!C4:C99,0)+17)),"")</f>
        <v/>
      </c>
      <c r="E27" s="8" t="str">
        <f>IFERROR(IF(INDEX(Despesas_DB!C:C,3+MATCH($D$2,Despesas_DB!C4:C99,0)+17)&lt;&gt;$D$2,"",INDEX(Despesas_DB!F:F,3+MATCH($D$2,Despesas_DB!C4:C99,0)+17)),"")</f>
        <v/>
      </c>
      <c r="F27" s="15" t="str">
        <f>IFERROR(IF(INDEX(Despesas_DB!C:C,3+MATCH($D$2,Despesas_DB!C4:C99,0)+17)&lt;&gt;$D$2,"",INDEX(Despesas_DB!G:G,3+MATCH($D$2,Despesas_DB!C4:C99,0)+17)),"")</f>
        <v/>
      </c>
      <c r="G27" s="8" t="str">
        <f>IFERROR(IF(INDEX(Despesas_DB!C:C,3+MATCH($D$2,Despesas_DB!C4:C99,0)+17)&lt;&gt;$D$2,"",INDEX(Despesas_DB!H:H,3+MATCH($D$2,Despesas_DB!C4:C99,0)+17)),"")</f>
        <v/>
      </c>
    </row>
    <row r="28" spans="2:7" ht="13.5" customHeight="1" x14ac:dyDescent="0.25">
      <c r="B28" s="16" t="str">
        <f>IFERROR(IF(INDEX(Despesas_DB!C:C,3+MATCH($D$2,Despesas_DB!C4:C99,0)+18)&lt;&gt;$D$2,"",INDEX(Despesas_DB!B:B,3+MATCH($D$2,Despesas_DB!C4:C99,0)+18)),"")</f>
        <v/>
      </c>
      <c r="C28" s="17" t="str">
        <f>IFERROR(IF(INDEX(Despesas_DB!C:C,3+MATCH($D$2,Despesas_DB!C4:C99,0)+18)&lt;&gt;$D$2,"",INDEX(Despesas_DB!D:D,3+MATCH($D$2,Despesas_DB!C4:C99,0)+18)),"")</f>
        <v/>
      </c>
      <c r="D28" s="17" t="str">
        <f>IFERROR(IF(INDEX(Despesas_DB!C:C,3+MATCH($D$2,Despesas_DB!C4:C99,0)+18)&lt;&gt;$D$2,"",INDEX(Despesas_DB!E:E,3+MATCH($D$2,Despesas_DB!C4:C99,0)+18)),"")</f>
        <v/>
      </c>
      <c r="E28" s="5" t="str">
        <f>IFERROR(IF(INDEX(Despesas_DB!C:C,3+MATCH($D$2,Despesas_DB!C4:C99,0)+18)&lt;&gt;$D$2,"",INDEX(Despesas_DB!F:F,3+MATCH($D$2,Despesas_DB!C4:C99,0)+18)),"")</f>
        <v/>
      </c>
      <c r="F28" s="16" t="str">
        <f>IFERROR(IF(INDEX(Despesas_DB!C:C,3+MATCH($D$2,Despesas_DB!C4:C99,0)+18)&lt;&gt;$D$2,"",INDEX(Despesas_DB!G:G,3+MATCH($D$2,Despesas_DB!C4:C99,0)+18)),"")</f>
        <v/>
      </c>
      <c r="G28" s="5" t="str">
        <f>IFERROR(IF(INDEX(Despesas_DB!C:C,3+MATCH($D$2,Despesas_DB!C4:C99,0)+18)&lt;&gt;$D$2,"",INDEX(Despesas_DB!H:H,3+MATCH($D$2,Despesas_DB!C4:C99,0)+18)),"")</f>
        <v/>
      </c>
    </row>
    <row r="29" spans="2:7" ht="13.5" customHeight="1" x14ac:dyDescent="0.25">
      <c r="B29" s="15" t="str">
        <f>IFERROR(IF(INDEX(Despesas_DB!C:C,3+MATCH($D$2,Despesas_DB!C4:C99,0)+19)&lt;&gt;$D$2,"",INDEX(Despesas_DB!B:B,3+MATCH($D$2,Despesas_DB!C4:C99,0)+19)),"")</f>
        <v/>
      </c>
      <c r="C29" s="18" t="str">
        <f>IFERROR(IF(INDEX(Despesas_DB!C:C,3+MATCH($D$2,Despesas_DB!C4:C99,0)+19)&lt;&gt;$D$2,"",INDEX(Despesas_DB!D:D,3+MATCH($D$2,Despesas_DB!C4:C99,0)+19)),"")</f>
        <v/>
      </c>
      <c r="D29" s="18" t="str">
        <f>IFERROR(IF(INDEX(Despesas_DB!C:C,3+MATCH($D$2,Despesas_DB!C4:C99,0)+19)&lt;&gt;$D$2,"",INDEX(Despesas_DB!E:E,3+MATCH($D$2,Despesas_DB!C4:C99,0)+19)),"")</f>
        <v/>
      </c>
      <c r="E29" s="8" t="str">
        <f>IFERROR(IF(INDEX(Despesas_DB!C:C,3+MATCH($D$2,Despesas_DB!C4:C99,0)+19)&lt;&gt;$D$2,"",INDEX(Despesas_DB!F:F,3+MATCH($D$2,Despesas_DB!C4:C99,0)+19)),"")</f>
        <v/>
      </c>
      <c r="F29" s="15" t="str">
        <f>IFERROR(IF(INDEX(Despesas_DB!C:C,3+MATCH($D$2,Despesas_DB!C4:C99,0)+19)&lt;&gt;$D$2,"",INDEX(Despesas_DB!G:G,3+MATCH($D$2,Despesas_DB!C4:C99,0)+19)),"")</f>
        <v/>
      </c>
      <c r="G29" s="8" t="str">
        <f>IFERROR(IF(INDEX(Despesas_DB!C:C,3+MATCH($D$2,Despesas_DB!C4:C99,0)+19)&lt;&gt;$D$2,"",INDEX(Despesas_DB!H:H,3+MATCH($D$2,Despesas_DB!C4:C99,0)+19)),"")</f>
        <v/>
      </c>
    </row>
    <row r="30" spans="2:7" ht="6" customHeight="1" x14ac:dyDescent="0.25"/>
  </sheetData>
  <mergeCells count="18">
    <mergeCell ref="B8:G8"/>
    <mergeCell ref="I8:K8"/>
    <mergeCell ref="H5:I5"/>
    <mergeCell ref="E4:G4"/>
    <mergeCell ref="G2:J2"/>
    <mergeCell ref="H4:I4"/>
    <mergeCell ref="B6:D6"/>
    <mergeCell ref="E6:G6"/>
    <mergeCell ref="D2:F2"/>
    <mergeCell ref="J4:K4"/>
    <mergeCell ref="B2:C2"/>
    <mergeCell ref="B1:K1"/>
    <mergeCell ref="H6:I6"/>
    <mergeCell ref="B5:D5"/>
    <mergeCell ref="J5:K5"/>
    <mergeCell ref="J6:K6"/>
    <mergeCell ref="E5:G5"/>
    <mergeCell ref="B4:D4"/>
  </mergeCells>
  <dataValidations count="1">
    <dataValidation type="list" sqref="D2" xr:uid="{00000000-0002-0000-0200-000000000000}">
      <formula1>"Janeiro,Fevereiro,Março,Abril,Maio,Junho,Julho,Agosto,Setembro,Outubro,Novembro,Dezembro"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39997558519241921"/>
  </sheetPr>
  <dimension ref="B1:J34"/>
  <sheetViews>
    <sheetView showGridLines="0" zoomScaleNormal="100" workbookViewId="0">
      <selection activeCell="I5" sqref="I5"/>
    </sheetView>
  </sheetViews>
  <sheetFormatPr defaultColWidth="8.7109375" defaultRowHeight="15" x14ac:dyDescent="0.25"/>
  <cols>
    <col min="1" max="1" width="1.5703125" customWidth="1"/>
    <col min="2" max="2" width="26.85546875" customWidth="1"/>
    <col min="3" max="3" width="12" customWidth="1"/>
    <col min="4" max="5" width="15" customWidth="1"/>
    <col min="6" max="6" width="14" customWidth="1"/>
    <col min="7" max="7" width="12" customWidth="1"/>
  </cols>
  <sheetData>
    <row r="1" spans="2:10" ht="31.5" customHeight="1" x14ac:dyDescent="0.25">
      <c r="B1" s="63" t="s">
        <v>50</v>
      </c>
      <c r="C1" s="59"/>
      <c r="D1" s="59"/>
      <c r="E1" s="59"/>
      <c r="F1" s="59"/>
      <c r="G1" s="59"/>
    </row>
    <row r="2" spans="2:10" ht="24" customHeight="1" x14ac:dyDescent="0.25">
      <c r="B2" s="64" t="s">
        <v>0</v>
      </c>
      <c r="C2" s="59"/>
      <c r="D2" s="121" t="s">
        <v>31</v>
      </c>
      <c r="E2" s="122"/>
      <c r="F2" s="122"/>
      <c r="G2" s="58" t="s">
        <v>2</v>
      </c>
      <c r="H2" s="59"/>
      <c r="I2" s="59"/>
      <c r="J2" s="59"/>
    </row>
    <row r="3" spans="2:10" ht="6" customHeight="1" x14ac:dyDescent="0.25"/>
    <row r="4" spans="2:10" ht="19.5" customHeight="1" x14ac:dyDescent="0.25">
      <c r="B4" s="138" t="s">
        <v>3</v>
      </c>
      <c r="C4" s="131" t="s">
        <v>51</v>
      </c>
      <c r="D4" s="131"/>
      <c r="E4" s="140" t="s">
        <v>4</v>
      </c>
      <c r="F4" s="142" t="s">
        <v>5</v>
      </c>
      <c r="G4" s="144" t="s">
        <v>52</v>
      </c>
    </row>
    <row r="5" spans="2:10" ht="30" customHeight="1" x14ac:dyDescent="0.25">
      <c r="B5" s="137">
        <f>SUMIF(Pedidos_DB!C4:C110,$D$2,Pedidos_DB!G4:G110)</f>
        <v>8328.2000000000007</v>
      </c>
      <c r="C5" s="62">
        <f>SUMIF(Despesas_DB!C4:C99,$D$2,Despesas_DB!H4:H99)</f>
        <v>3890</v>
      </c>
      <c r="D5" s="62"/>
      <c r="E5" s="56">
        <f>B5-C5</f>
        <v>4438.2000000000007</v>
      </c>
      <c r="F5" s="1">
        <f>IFERROR(E5/B5,0)</f>
        <v>0.53291227396075991</v>
      </c>
      <c r="G5" s="1">
        <f>IFERROR(E5/C5,0)</f>
        <v>1.1409254498714654</v>
      </c>
    </row>
    <row r="6" spans="2:10" ht="19.5" customHeight="1" x14ac:dyDescent="0.25">
      <c r="B6" s="139"/>
      <c r="C6" s="133"/>
      <c r="D6" s="133"/>
      <c r="E6" s="141"/>
      <c r="F6" s="143"/>
      <c r="G6" s="145"/>
    </row>
    <row r="7" spans="2:10" ht="6" customHeight="1" x14ac:dyDescent="0.25"/>
    <row r="8" spans="2:10" ht="19.5" customHeight="1" x14ac:dyDescent="0.25">
      <c r="B8" s="67" t="s">
        <v>53</v>
      </c>
      <c r="C8" s="59"/>
      <c r="D8" s="59"/>
      <c r="E8" s="59"/>
      <c r="F8" s="59"/>
      <c r="G8" s="59"/>
    </row>
    <row r="9" spans="2:10" ht="18" customHeight="1" x14ac:dyDescent="0.25">
      <c r="B9" s="2" t="s">
        <v>22</v>
      </c>
      <c r="C9" s="2" t="s">
        <v>54</v>
      </c>
      <c r="D9" s="2" t="s">
        <v>9</v>
      </c>
      <c r="E9" s="2" t="s">
        <v>55</v>
      </c>
      <c r="F9" s="2" t="s">
        <v>56</v>
      </c>
      <c r="G9" s="2" t="s">
        <v>57</v>
      </c>
    </row>
    <row r="10" spans="2:10" ht="13.5" customHeight="1" x14ac:dyDescent="0.25">
      <c r="B10" s="23" t="s">
        <v>58</v>
      </c>
      <c r="C10" s="12">
        <f>SUMPRODUCT((Pedidos_DB!C4:C110=$D$2)*(Pedidos_DB!E4:E110=B10)*Pedidos_DB!F4:F110)</f>
        <v>20</v>
      </c>
      <c r="D10" s="4">
        <f>SUMPRODUCT((Pedidos_DB!C4:C110=$D$2)*(Pedidos_DB!E4:E110=B10)*Pedidos_DB!G4:G110)</f>
        <v>378</v>
      </c>
      <c r="E10" s="4">
        <f>SUMIFS(Despesas_DB!H4:H99,Despesas_DB!C4:C99,$D$2,Despesas_DB!E4:E99,B10)</f>
        <v>0</v>
      </c>
      <c r="F10" s="10">
        <f t="shared" ref="F10:F34" si="0">D10-E10</f>
        <v>378</v>
      </c>
      <c r="G10" s="11">
        <f t="shared" ref="G10:G34" si="1">IFERROR(F10/D10,0)</f>
        <v>1</v>
      </c>
    </row>
    <row r="11" spans="2:10" ht="13.5" customHeight="1" x14ac:dyDescent="0.25">
      <c r="B11" s="18" t="s">
        <v>59</v>
      </c>
      <c r="C11" s="15">
        <f>SUMPRODUCT((Pedidos_DB!C4:C110=$D$2)*(Pedidos_DB!E4:E110=B11)*Pedidos_DB!F4:F110)</f>
        <v>22</v>
      </c>
      <c r="D11" s="7">
        <f>SUMPRODUCT((Pedidos_DB!C4:C110=$D$2)*(Pedidos_DB!E4:E110=B11)*Pedidos_DB!G4:G110)</f>
        <v>426.8</v>
      </c>
      <c r="E11" s="7">
        <f>SUMIFS(Despesas_DB!H4:H99,Despesas_DB!C4:C99,$D$2,Despesas_DB!E4:E99,B11)</f>
        <v>225</v>
      </c>
      <c r="F11" s="13">
        <f t="shared" si="0"/>
        <v>201.8</v>
      </c>
      <c r="G11" s="14">
        <f t="shared" si="1"/>
        <v>0.47282099343955014</v>
      </c>
    </row>
    <row r="12" spans="2:10" ht="13.5" customHeight="1" x14ac:dyDescent="0.25">
      <c r="B12" s="23" t="s">
        <v>60</v>
      </c>
      <c r="C12" s="12">
        <f>SUMPRODUCT((Pedidos_DB!C4:C110=$D$2)*(Pedidos_DB!E4:E110=B12)*Pedidos_DB!F4:F110)</f>
        <v>5</v>
      </c>
      <c r="D12" s="4">
        <f>SUMPRODUCT((Pedidos_DB!C4:C110=$D$2)*(Pedidos_DB!E4:E110=B12)*Pedidos_DB!G4:G110)</f>
        <v>62.5</v>
      </c>
      <c r="E12" s="4">
        <f>SUMIFS(Despesas_DB!H4:H99,Despesas_DB!C4:C99,$D$2,Despesas_DB!E4:E99,B12)</f>
        <v>0</v>
      </c>
      <c r="F12" s="10">
        <f t="shared" si="0"/>
        <v>62.5</v>
      </c>
      <c r="G12" s="11">
        <f t="shared" si="1"/>
        <v>1</v>
      </c>
    </row>
    <row r="13" spans="2:10" ht="13.5" customHeight="1" x14ac:dyDescent="0.25">
      <c r="B13" s="18" t="s">
        <v>61</v>
      </c>
      <c r="C13" s="15">
        <f>SUMPRODUCT((Pedidos_DB!C4:C110=$D$2)*(Pedidos_DB!E4:E110=B13)*Pedidos_DB!F4:F110)</f>
        <v>15</v>
      </c>
      <c r="D13" s="7">
        <f>SUMPRODUCT((Pedidos_DB!C4:C110=$D$2)*(Pedidos_DB!E4:E110=B13)*Pedidos_DB!G4:G110)</f>
        <v>525</v>
      </c>
      <c r="E13" s="7">
        <f>SUMIFS(Despesas_DB!H4:H99,Despesas_DB!C4:C99,$D$2,Despesas_DB!E4:E99,B13)</f>
        <v>0</v>
      </c>
      <c r="F13" s="13">
        <f t="shared" si="0"/>
        <v>525</v>
      </c>
      <c r="G13" s="14">
        <f t="shared" si="1"/>
        <v>1</v>
      </c>
    </row>
    <row r="14" spans="2:10" ht="13.5" customHeight="1" x14ac:dyDescent="0.25">
      <c r="B14" s="23" t="s">
        <v>62</v>
      </c>
      <c r="C14" s="12">
        <f>SUMPRODUCT((Pedidos_DB!C4:C110=$D$2)*(Pedidos_DB!E4:E110=B14)*Pedidos_DB!F4:F110)</f>
        <v>20</v>
      </c>
      <c r="D14" s="4">
        <f>SUMPRODUCT((Pedidos_DB!C4:C110=$D$2)*(Pedidos_DB!E4:E110=B14)*Pedidos_DB!G4:G110)</f>
        <v>400</v>
      </c>
      <c r="E14" s="4">
        <f>SUMIFS(Despesas_DB!H4:H99,Despesas_DB!C4:C99,$D$2,Despesas_DB!E4:E99,B14)</f>
        <v>360</v>
      </c>
      <c r="F14" s="10">
        <f t="shared" si="0"/>
        <v>40</v>
      </c>
      <c r="G14" s="11">
        <f t="shared" si="1"/>
        <v>0.1</v>
      </c>
    </row>
    <row r="15" spans="2:10" ht="13.5" customHeight="1" x14ac:dyDescent="0.25">
      <c r="B15" s="18" t="s">
        <v>63</v>
      </c>
      <c r="C15" s="15">
        <f>SUMPRODUCT((Pedidos_DB!C4:C110=$D$2)*(Pedidos_DB!E4:E110=B15)*Pedidos_DB!F4:F110)</f>
        <v>10</v>
      </c>
      <c r="D15" s="7">
        <f>SUMPRODUCT((Pedidos_DB!C4:C110=$D$2)*(Pedidos_DB!E4:E110=B15)*Pedidos_DB!G4:G110)</f>
        <v>182</v>
      </c>
      <c r="E15" s="7">
        <f>SUMIFS(Despesas_DB!H4:H99,Despesas_DB!C4:C99,$D$2,Despesas_DB!E4:E99,B15)</f>
        <v>130</v>
      </c>
      <c r="F15" s="13">
        <f t="shared" si="0"/>
        <v>52</v>
      </c>
      <c r="G15" s="14">
        <f t="shared" si="1"/>
        <v>0.2857142857142857</v>
      </c>
    </row>
    <row r="16" spans="2:10" ht="13.5" customHeight="1" x14ac:dyDescent="0.25">
      <c r="B16" s="23" t="s">
        <v>64</v>
      </c>
      <c r="C16" s="12">
        <f>SUMPRODUCT((Pedidos_DB!C4:C110=$D$2)*(Pedidos_DB!E4:E110=B16)*Pedidos_DB!F4:F110)</f>
        <v>15</v>
      </c>
      <c r="D16" s="4">
        <f>SUMPRODUCT((Pedidos_DB!C4:C110=$D$2)*(Pedidos_DB!E4:E110=B16)*Pedidos_DB!G4:G110)</f>
        <v>298.5</v>
      </c>
      <c r="E16" s="4">
        <f>SUMIFS(Despesas_DB!H4:H99,Despesas_DB!C4:C99,$D$2,Despesas_DB!E4:E99,B16)</f>
        <v>280</v>
      </c>
      <c r="F16" s="10">
        <f t="shared" si="0"/>
        <v>18.5</v>
      </c>
      <c r="G16" s="11">
        <f t="shared" si="1"/>
        <v>6.1976549413735343E-2</v>
      </c>
    </row>
    <row r="17" spans="2:7" ht="13.5" customHeight="1" x14ac:dyDescent="0.25">
      <c r="B17" s="18" t="s">
        <v>65</v>
      </c>
      <c r="C17" s="15">
        <f>SUMPRODUCT((Pedidos_DB!C4:C110=$D$2)*(Pedidos_DB!E4:E110=B17)*Pedidos_DB!F4:F110)</f>
        <v>30</v>
      </c>
      <c r="D17" s="7">
        <f>SUMPRODUCT((Pedidos_DB!C4:C110=$D$2)*(Pedidos_DB!E4:E110=B17)*Pedidos_DB!G4:G110)</f>
        <v>1260</v>
      </c>
      <c r="E17" s="7">
        <f>SUMIFS(Despesas_DB!H4:H99,Despesas_DB!C4:C99,$D$2,Despesas_DB!E4:E99,B17)</f>
        <v>0</v>
      </c>
      <c r="F17" s="13">
        <f t="shared" si="0"/>
        <v>1260</v>
      </c>
      <c r="G17" s="14">
        <f t="shared" si="1"/>
        <v>1</v>
      </c>
    </row>
    <row r="18" spans="2:7" ht="13.5" customHeight="1" x14ac:dyDescent="0.25">
      <c r="B18" s="23" t="s">
        <v>66</v>
      </c>
      <c r="C18" s="12">
        <f>SUMPRODUCT((Pedidos_DB!C4:C110=$D$2)*(Pedidos_DB!E4:E110=B18)*Pedidos_DB!F4:F110)</f>
        <v>0</v>
      </c>
      <c r="D18" s="4">
        <f>SUMPRODUCT((Pedidos_DB!C4:C110=$D$2)*(Pedidos_DB!E4:E110=B18)*Pedidos_DB!G4:G110)</f>
        <v>0</v>
      </c>
      <c r="E18" s="4">
        <f>SUMIFS(Despesas_DB!H4:H99,Despesas_DB!C4:C99,$D$2,Despesas_DB!E4:E99,B18)</f>
        <v>140</v>
      </c>
      <c r="F18" s="10">
        <f t="shared" si="0"/>
        <v>-140</v>
      </c>
      <c r="G18" s="11">
        <f t="shared" si="1"/>
        <v>0</v>
      </c>
    </row>
    <row r="19" spans="2:7" ht="13.5" customHeight="1" x14ac:dyDescent="0.25">
      <c r="B19" s="18" t="s">
        <v>67</v>
      </c>
      <c r="C19" s="15">
        <f>SUMPRODUCT((Pedidos_DB!C4:C110=$D$2)*(Pedidos_DB!E4:E110=B19)*Pedidos_DB!F4:F110)</f>
        <v>10</v>
      </c>
      <c r="D19" s="7">
        <f>SUMPRODUCT((Pedidos_DB!C4:C110=$D$2)*(Pedidos_DB!E4:E110=B19)*Pedidos_DB!G4:G110)</f>
        <v>271</v>
      </c>
      <c r="E19" s="7">
        <f>SUMIFS(Despesas_DB!H4:H99,Despesas_DB!C4:C99,$D$2,Despesas_DB!E4:E99,B19)</f>
        <v>190</v>
      </c>
      <c r="F19" s="13">
        <f t="shared" si="0"/>
        <v>81</v>
      </c>
      <c r="G19" s="14">
        <f t="shared" si="1"/>
        <v>0.2988929889298893</v>
      </c>
    </row>
    <row r="20" spans="2:7" ht="13.5" customHeight="1" x14ac:dyDescent="0.25">
      <c r="B20" s="23" t="s">
        <v>68</v>
      </c>
      <c r="C20" s="12">
        <f>SUMPRODUCT((Pedidos_DB!C4:C110=$D$2)*(Pedidos_DB!E4:E110=B20)*Pedidos_DB!F4:F110)</f>
        <v>8</v>
      </c>
      <c r="D20" s="4">
        <f>SUMPRODUCT((Pedidos_DB!C4:C110=$D$2)*(Pedidos_DB!E4:E110=B20)*Pedidos_DB!G4:G110)</f>
        <v>239.2</v>
      </c>
      <c r="E20" s="4">
        <f>SUMIFS(Despesas_DB!H4:H99,Despesas_DB!C4:C99,$D$2,Despesas_DB!E4:E99,B20)</f>
        <v>450</v>
      </c>
      <c r="F20" s="10">
        <f t="shared" si="0"/>
        <v>-210.8</v>
      </c>
      <c r="G20" s="11">
        <f t="shared" si="1"/>
        <v>-0.88127090301003352</v>
      </c>
    </row>
    <row r="21" spans="2:7" ht="13.5" customHeight="1" x14ac:dyDescent="0.25">
      <c r="B21" s="18" t="s">
        <v>69</v>
      </c>
      <c r="C21" s="15">
        <f>SUMPRODUCT((Pedidos_DB!C4:C110=$D$2)*(Pedidos_DB!E4:E110=B21)*Pedidos_DB!F4:F110)</f>
        <v>12</v>
      </c>
      <c r="D21" s="7">
        <f>SUMPRODUCT((Pedidos_DB!C4:C110=$D$2)*(Pedidos_DB!E4:E110=B21)*Pedidos_DB!G4:G110)</f>
        <v>480</v>
      </c>
      <c r="E21" s="7">
        <f>SUMIFS(Despesas_DB!H4:H99,Despesas_DB!C4:C99,$D$2,Despesas_DB!E4:E99,B21)</f>
        <v>0</v>
      </c>
      <c r="F21" s="13">
        <f t="shared" si="0"/>
        <v>480</v>
      </c>
      <c r="G21" s="14">
        <f t="shared" si="1"/>
        <v>1</v>
      </c>
    </row>
    <row r="22" spans="2:7" ht="13.5" customHeight="1" x14ac:dyDescent="0.25">
      <c r="B22" s="23" t="s">
        <v>70</v>
      </c>
      <c r="C22" s="12">
        <f>SUMPRODUCT((Pedidos_DB!C4:C110=$D$2)*(Pedidos_DB!E4:E110=B22)*Pedidos_DB!F4:F110)</f>
        <v>25</v>
      </c>
      <c r="D22" s="4">
        <f>SUMPRODUCT((Pedidos_DB!C4:C110=$D$2)*(Pedidos_DB!E4:E110=B22)*Pedidos_DB!G4:G110)</f>
        <v>375</v>
      </c>
      <c r="E22" s="4">
        <f>SUMIFS(Despesas_DB!H4:H99,Despesas_DB!C4:C99,$D$2,Despesas_DB!E4:E99,B22)</f>
        <v>200</v>
      </c>
      <c r="F22" s="10">
        <f t="shared" si="0"/>
        <v>175</v>
      </c>
      <c r="G22" s="11">
        <f t="shared" si="1"/>
        <v>0.46666666666666667</v>
      </c>
    </row>
    <row r="23" spans="2:7" ht="13.5" customHeight="1" x14ac:dyDescent="0.25">
      <c r="B23" s="18" t="s">
        <v>71</v>
      </c>
      <c r="C23" s="15">
        <f>SUMPRODUCT((Pedidos_DB!C4:C110=$D$2)*(Pedidos_DB!E4:E110=B23)*Pedidos_DB!F4:F110)</f>
        <v>10</v>
      </c>
      <c r="D23" s="7">
        <f>SUMPRODUCT((Pedidos_DB!C4:C110=$D$2)*(Pedidos_DB!E4:E110=B23)*Pedidos_DB!G4:G110)</f>
        <v>235</v>
      </c>
      <c r="E23" s="7">
        <f>SUMIFS(Despesas_DB!H4:H99,Despesas_DB!C4:C99,$D$2,Despesas_DB!E4:E99,B23)</f>
        <v>170</v>
      </c>
      <c r="F23" s="13">
        <f t="shared" si="0"/>
        <v>65</v>
      </c>
      <c r="G23" s="14">
        <f t="shared" si="1"/>
        <v>0.27659574468085107</v>
      </c>
    </row>
    <row r="24" spans="2:7" ht="13.5" customHeight="1" x14ac:dyDescent="0.25">
      <c r="B24" s="23" t="s">
        <v>72</v>
      </c>
      <c r="C24" s="12">
        <f>SUMPRODUCT((Pedidos_DB!C4:C110=$D$2)*(Pedidos_DB!E4:E110=B24)*Pedidos_DB!F4:F110)</f>
        <v>18</v>
      </c>
      <c r="D24" s="4">
        <f>SUMPRODUCT((Pedidos_DB!C4:C110=$D$2)*(Pedidos_DB!E4:E110=B24)*Pedidos_DB!G4:G110)</f>
        <v>450</v>
      </c>
      <c r="E24" s="4">
        <f>SUMIFS(Despesas_DB!H4:H99,Despesas_DB!C4:C99,$D$2,Despesas_DB!E4:E99,B24)</f>
        <v>270</v>
      </c>
      <c r="F24" s="10">
        <f t="shared" si="0"/>
        <v>180</v>
      </c>
      <c r="G24" s="11">
        <f t="shared" si="1"/>
        <v>0.4</v>
      </c>
    </row>
    <row r="25" spans="2:7" ht="13.5" customHeight="1" x14ac:dyDescent="0.25">
      <c r="B25" s="18" t="s">
        <v>73</v>
      </c>
      <c r="C25" s="15">
        <f>SUMPRODUCT((Pedidos_DB!C4:C110=$D$2)*(Pedidos_DB!E4:E110=B25)*Pedidos_DB!F4:F110)</f>
        <v>20</v>
      </c>
      <c r="D25" s="7">
        <f>SUMPRODUCT((Pedidos_DB!C4:C110=$D$2)*(Pedidos_DB!E4:E110=B25)*Pedidos_DB!G4:G110)</f>
        <v>438</v>
      </c>
      <c r="E25" s="7">
        <f>SUMIFS(Despesas_DB!H4:H99,Despesas_DB!C4:C99,$D$2,Despesas_DB!E4:E99,B25)</f>
        <v>255</v>
      </c>
      <c r="F25" s="13">
        <f t="shared" si="0"/>
        <v>183</v>
      </c>
      <c r="G25" s="14">
        <f t="shared" si="1"/>
        <v>0.4178082191780822</v>
      </c>
    </row>
    <row r="26" spans="2:7" ht="13.5" customHeight="1" x14ac:dyDescent="0.25">
      <c r="B26" s="23" t="s">
        <v>74</v>
      </c>
      <c r="C26" s="12">
        <f>SUMPRODUCT((Pedidos_DB!C4:C110=$D$2)*(Pedidos_DB!E4:E110=B26)*Pedidos_DB!F4:F110)</f>
        <v>22</v>
      </c>
      <c r="D26" s="4">
        <f>SUMPRODUCT((Pedidos_DB!C4:C110=$D$2)*(Pedidos_DB!E4:E110=B26)*Pedidos_DB!G4:G110)</f>
        <v>360.8</v>
      </c>
      <c r="E26" s="4">
        <f>SUMIFS(Despesas_DB!H4:H99,Despesas_DB!C4:C99,$D$2,Despesas_DB!E4:E99,B26)</f>
        <v>0</v>
      </c>
      <c r="F26" s="10">
        <f t="shared" si="0"/>
        <v>360.8</v>
      </c>
      <c r="G26" s="11">
        <f t="shared" si="1"/>
        <v>1</v>
      </c>
    </row>
    <row r="27" spans="2:7" ht="13.5" customHeight="1" x14ac:dyDescent="0.25">
      <c r="B27" s="18" t="s">
        <v>75</v>
      </c>
      <c r="C27" s="15">
        <f>SUMPRODUCT((Pedidos_DB!C4:C110=$D$2)*(Pedidos_DB!E4:E110=B27)*Pedidos_DB!F4:F110)</f>
        <v>15</v>
      </c>
      <c r="D27" s="7">
        <f>SUMPRODUCT((Pedidos_DB!C4:C110=$D$2)*(Pedidos_DB!E4:E110=B27)*Pedidos_DB!G4:G110)</f>
        <v>523.5</v>
      </c>
      <c r="E27" s="7">
        <f>SUMIFS(Despesas_DB!H4:H99,Despesas_DB!C4:C99,$D$2,Despesas_DB!E4:E99,B27)</f>
        <v>340</v>
      </c>
      <c r="F27" s="13">
        <f t="shared" si="0"/>
        <v>183.5</v>
      </c>
      <c r="G27" s="14">
        <f t="shared" si="1"/>
        <v>0.35052531041069723</v>
      </c>
    </row>
    <row r="28" spans="2:7" ht="13.5" customHeight="1" x14ac:dyDescent="0.25">
      <c r="B28" s="23" t="s">
        <v>76</v>
      </c>
      <c r="C28" s="12">
        <f>SUMPRODUCT((Pedidos_DB!C4:C110=$D$2)*(Pedidos_DB!E4:E110=B28)*Pedidos_DB!F4:F110)</f>
        <v>18</v>
      </c>
      <c r="D28" s="4">
        <f>SUMPRODUCT((Pedidos_DB!C4:C110=$D$2)*(Pedidos_DB!E4:E110=B28)*Pedidos_DB!G4:G110)</f>
        <v>230.4</v>
      </c>
      <c r="E28" s="4">
        <f>SUMIFS(Despesas_DB!H4:H99,Despesas_DB!C4:C99,$D$2,Despesas_DB!E4:E99,B28)</f>
        <v>60</v>
      </c>
      <c r="F28" s="10">
        <f t="shared" si="0"/>
        <v>170.4</v>
      </c>
      <c r="G28" s="11">
        <f t="shared" si="1"/>
        <v>0.73958333333333337</v>
      </c>
    </row>
    <row r="29" spans="2:7" ht="13.5" customHeight="1" x14ac:dyDescent="0.25">
      <c r="B29" s="18" t="s">
        <v>77</v>
      </c>
      <c r="C29" s="15">
        <f>SUMPRODUCT((Pedidos_DB!C4:C110=$D$2)*(Pedidos_DB!E4:E110=B29)*Pedidos_DB!F4:F110)</f>
        <v>5</v>
      </c>
      <c r="D29" s="7">
        <f>SUMPRODUCT((Pedidos_DB!C4:C110=$D$2)*(Pedidos_DB!E4:E110=B29)*Pedidos_DB!G4:G110)</f>
        <v>192.5</v>
      </c>
      <c r="E29" s="7">
        <f>SUMIFS(Despesas_DB!H4:H99,Despesas_DB!C4:C99,$D$2,Despesas_DB!E4:E99,B29)</f>
        <v>0</v>
      </c>
      <c r="F29" s="13">
        <f t="shared" si="0"/>
        <v>192.5</v>
      </c>
      <c r="G29" s="14">
        <f t="shared" si="1"/>
        <v>1</v>
      </c>
    </row>
    <row r="30" spans="2:7" ht="13.5" customHeight="1" x14ac:dyDescent="0.25">
      <c r="B30" s="23" t="s">
        <v>78</v>
      </c>
      <c r="C30" s="12">
        <f>SUMPRODUCT((Pedidos_DB!C4:C110=$D$2)*(Pedidos_DB!E4:E110=B30)*Pedidos_DB!F4:F110)</f>
        <v>20</v>
      </c>
      <c r="D30" s="4">
        <f>SUMPRODUCT((Pedidos_DB!C4:C110=$D$2)*(Pedidos_DB!E4:E110=B30)*Pedidos_DB!G4:G110)</f>
        <v>1000</v>
      </c>
      <c r="E30" s="4">
        <f>SUMIFS(Despesas_DB!H4:H99,Despesas_DB!C4:C99,$D$2,Despesas_DB!E4:E99,B30)</f>
        <v>300</v>
      </c>
      <c r="F30" s="10">
        <f t="shared" si="0"/>
        <v>700</v>
      </c>
      <c r="G30" s="11">
        <f t="shared" si="1"/>
        <v>0.7</v>
      </c>
    </row>
    <row r="31" spans="2:7" ht="13.5" customHeight="1" x14ac:dyDescent="0.25">
      <c r="B31" s="18" t="s">
        <v>79</v>
      </c>
      <c r="C31" s="15">
        <f>SUMPRODUCT((Pedidos_DB!C4:C110=$D$2)*(Pedidos_DB!E4:E110=B31)*Pedidos_DB!F4:F110)</f>
        <v>0</v>
      </c>
      <c r="D31" s="7">
        <f>SUMPRODUCT((Pedidos_DB!C4:C110=$D$2)*(Pedidos_DB!E4:E110=B31)*Pedidos_DB!G4:G110)</f>
        <v>0</v>
      </c>
      <c r="E31" s="7">
        <f>SUMIFS(Despesas_DB!H4:H99,Despesas_DB!C4:C99,$D$2,Despesas_DB!E4:E99,B31)</f>
        <v>0</v>
      </c>
      <c r="F31" s="13">
        <f t="shared" si="0"/>
        <v>0</v>
      </c>
      <c r="G31" s="14">
        <f t="shared" si="1"/>
        <v>0</v>
      </c>
    </row>
    <row r="32" spans="2:7" ht="13.5" customHeight="1" x14ac:dyDescent="0.25">
      <c r="B32" s="23" t="s">
        <v>80</v>
      </c>
      <c r="C32" s="12">
        <f>SUMPRODUCT((Pedidos_DB!C4:C110=$D$2)*(Pedidos_DB!E4:E110=B32)*Pedidos_DB!F4:F110)</f>
        <v>0</v>
      </c>
      <c r="D32" s="4">
        <f>SUMPRODUCT((Pedidos_DB!C4:C110=$D$2)*(Pedidos_DB!E4:E110=B32)*Pedidos_DB!G4:G110)</f>
        <v>0</v>
      </c>
      <c r="E32" s="4">
        <f>SUMIFS(Despesas_DB!H4:H99,Despesas_DB!C4:C99,$D$2,Despesas_DB!E4:E99,B32)</f>
        <v>100</v>
      </c>
      <c r="F32" s="10">
        <f t="shared" si="0"/>
        <v>-100</v>
      </c>
      <c r="G32" s="11">
        <f t="shared" si="1"/>
        <v>0</v>
      </c>
    </row>
    <row r="33" spans="2:7" ht="13.5" customHeight="1" x14ac:dyDescent="0.25">
      <c r="B33" s="18" t="s">
        <v>81</v>
      </c>
      <c r="C33" s="15">
        <f>SUMPRODUCT((Pedidos_DB!C4:C110=$D$2)*(Pedidos_DB!E4:E110=B33)*Pedidos_DB!F4:F110)</f>
        <v>0</v>
      </c>
      <c r="D33" s="7">
        <f>SUMPRODUCT((Pedidos_DB!C4:C110=$D$2)*(Pedidos_DB!E4:E110=B33)*Pedidos_DB!G4:G110)</f>
        <v>0</v>
      </c>
      <c r="E33" s="7">
        <f>SUMIFS(Despesas_DB!H4:H99,Despesas_DB!C4:C99,$D$2,Despesas_DB!E4:E99,B33)</f>
        <v>180</v>
      </c>
      <c r="F33" s="13">
        <f t="shared" si="0"/>
        <v>-180</v>
      </c>
      <c r="G33" s="14">
        <f t="shared" si="1"/>
        <v>0</v>
      </c>
    </row>
    <row r="34" spans="2:7" ht="13.5" customHeight="1" x14ac:dyDescent="0.25">
      <c r="B34" s="23" t="s">
        <v>82</v>
      </c>
      <c r="C34" s="12">
        <f>SUMPRODUCT((Pedidos_DB!C4:C110=$D$2)*(Pedidos_DB!E4:E110=B34)*Pedidos_DB!F4:F110)</f>
        <v>0</v>
      </c>
      <c r="D34" s="4">
        <f>SUMPRODUCT((Pedidos_DB!C4:C110=$D$2)*(Pedidos_DB!E4:E110=B34)*Pedidos_DB!G4:G110)</f>
        <v>0</v>
      </c>
      <c r="E34" s="4">
        <f>SUMIFS(Despesas_DB!H4:H99,Despesas_DB!C4:C99,$D$2,Despesas_DB!E4:E99,B34)</f>
        <v>0</v>
      </c>
      <c r="F34" s="10">
        <f t="shared" si="0"/>
        <v>0</v>
      </c>
      <c r="G34" s="11">
        <f t="shared" si="1"/>
        <v>0</v>
      </c>
    </row>
  </sheetData>
  <mergeCells count="8">
    <mergeCell ref="B8:G8"/>
    <mergeCell ref="G2:J2"/>
    <mergeCell ref="C4:D4"/>
    <mergeCell ref="C5:D5"/>
    <mergeCell ref="C6:D6"/>
    <mergeCell ref="B1:G1"/>
    <mergeCell ref="D2:F2"/>
    <mergeCell ref="B2:C2"/>
  </mergeCells>
  <conditionalFormatting sqref="F10:F34">
    <cfRule type="cellIs" dxfId="4" priority="2" operator="lessThan">
      <formula>0</formula>
    </cfRule>
    <cfRule type="cellIs" dxfId="3" priority="3" operator="greaterThan">
      <formula>0</formula>
    </cfRule>
  </conditionalFormatting>
  <dataValidations count="1">
    <dataValidation type="list" sqref="D2" xr:uid="{00000000-0002-0000-0300-000000000000}">
      <formula1>"Janeiro,Fevereiro,Março,Abril,Maio,Junho,Julho,Agosto,Setembro,Outubro,Novembro,Dezembro"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:L76"/>
  <sheetViews>
    <sheetView showGridLines="0" topLeftCell="B1" zoomScaleNormal="100" workbookViewId="0">
      <selection activeCell="J11" sqref="J11"/>
    </sheetView>
  </sheetViews>
  <sheetFormatPr defaultColWidth="8.7109375" defaultRowHeight="15" x14ac:dyDescent="0.25"/>
  <cols>
    <col min="1" max="1" width="1.5703125" customWidth="1"/>
    <col min="2" max="2" width="22" customWidth="1"/>
    <col min="3" max="3" width="38" customWidth="1"/>
    <col min="4" max="4" width="13" customWidth="1"/>
    <col min="5" max="5" width="14" customWidth="1"/>
    <col min="6" max="7" width="13" customWidth="1"/>
    <col min="8" max="8" width="14" customWidth="1"/>
    <col min="9" max="9" width="2" customWidth="1"/>
    <col min="10" max="10" width="16" customWidth="1"/>
    <col min="11" max="12" width="14" customWidth="1"/>
  </cols>
  <sheetData>
    <row r="1" spans="1:12" ht="31.5" customHeight="1" x14ac:dyDescent="0.25">
      <c r="A1" s="123"/>
      <c r="B1" s="63" t="s">
        <v>83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2" ht="6" customHeight="1" x14ac:dyDescent="0.25"/>
    <row r="3" spans="1:12" ht="19.5" customHeight="1" x14ac:dyDescent="0.25">
      <c r="B3" s="125" t="s">
        <v>84</v>
      </c>
      <c r="C3" s="126"/>
      <c r="D3" s="126"/>
      <c r="E3" s="128" t="s">
        <v>85</v>
      </c>
      <c r="F3" s="129"/>
      <c r="G3" s="129"/>
      <c r="H3" s="131" t="s">
        <v>86</v>
      </c>
      <c r="I3" s="132"/>
      <c r="J3" s="132"/>
      <c r="K3" s="134" t="s">
        <v>87</v>
      </c>
      <c r="L3" s="135"/>
    </row>
    <row r="4" spans="1:12" ht="30" customHeight="1" x14ac:dyDescent="0.25">
      <c r="B4" s="66">
        <f>57</f>
        <v>57</v>
      </c>
      <c r="C4" s="59"/>
      <c r="D4" s="59"/>
      <c r="E4" s="66">
        <f>COUNTIF(H9:H65,"Alta")</f>
        <v>44</v>
      </c>
      <c r="F4" s="59"/>
      <c r="G4" s="59"/>
      <c r="H4" s="66">
        <f>COUNTIF(H9:H65,"Baixa")</f>
        <v>2</v>
      </c>
      <c r="I4" s="59"/>
      <c r="J4" s="59"/>
      <c r="K4" s="62">
        <f>SUMPRODUCT(F9:F65*E9:E65)</f>
        <v>37494</v>
      </c>
      <c r="L4" s="59"/>
    </row>
    <row r="5" spans="1:12" ht="19.5" customHeight="1" x14ac:dyDescent="0.25">
      <c r="B5" s="127"/>
      <c r="C5" s="126"/>
      <c r="D5" s="126"/>
      <c r="E5" s="130"/>
      <c r="F5" s="129"/>
      <c r="G5" s="129"/>
      <c r="H5" s="133"/>
      <c r="I5" s="132"/>
      <c r="J5" s="132"/>
      <c r="K5" s="136"/>
      <c r="L5" s="135"/>
    </row>
    <row r="6" spans="1:12" ht="6" customHeight="1" x14ac:dyDescent="0.25"/>
    <row r="7" spans="1:12" ht="19.5" customHeight="1" x14ac:dyDescent="0.25">
      <c r="B7" s="67" t="s">
        <v>88</v>
      </c>
      <c r="C7" s="59"/>
      <c r="D7" s="59"/>
      <c r="E7" s="59"/>
      <c r="F7" s="59"/>
      <c r="G7" s="59"/>
      <c r="H7" s="59"/>
      <c r="J7" s="124" t="s">
        <v>124</v>
      </c>
      <c r="K7" s="124"/>
      <c r="L7" s="124"/>
    </row>
    <row r="8" spans="1:12" ht="18" customHeight="1" x14ac:dyDescent="0.25">
      <c r="B8" s="2" t="s">
        <v>41</v>
      </c>
      <c r="C8" s="2" t="s">
        <v>22</v>
      </c>
      <c r="D8" s="2" t="s">
        <v>89</v>
      </c>
      <c r="E8" s="2" t="s">
        <v>39</v>
      </c>
      <c r="F8" s="2" t="s">
        <v>90</v>
      </c>
      <c r="G8" s="2" t="s">
        <v>91</v>
      </c>
      <c r="H8" s="2" t="s">
        <v>10</v>
      </c>
      <c r="J8" s="2" t="s">
        <v>41</v>
      </c>
      <c r="K8" s="2" t="s">
        <v>125</v>
      </c>
      <c r="L8" s="2" t="s">
        <v>126</v>
      </c>
    </row>
    <row r="9" spans="1:12" ht="13.5" customHeight="1" x14ac:dyDescent="0.25">
      <c r="B9" s="16" t="s">
        <v>43</v>
      </c>
      <c r="C9" s="17" t="s">
        <v>58</v>
      </c>
      <c r="D9" s="16">
        <v>50</v>
      </c>
      <c r="E9" s="5">
        <v>18.899999999999999</v>
      </c>
      <c r="F9" s="16">
        <v>30</v>
      </c>
      <c r="G9" s="24">
        <f t="shared" ref="G9:G40" si="0">F9-D9</f>
        <v>-20</v>
      </c>
      <c r="H9" s="24" t="str">
        <f t="shared" ref="H9:H40" si="1">IF(F9&gt;=D9,"Alta",IF(F9&gt;=D9*0.5,"Normal","Baixa"))</f>
        <v>Normal</v>
      </c>
      <c r="J9" s="3" t="s">
        <v>43</v>
      </c>
      <c r="K9" s="12">
        <f>SUMIF(B9:B65,J9,F9:F65)</f>
        <v>222</v>
      </c>
      <c r="L9" s="26">
        <f>SUMPRODUCT((B9:B65=J9)*F9:F65*E9:E65)</f>
        <v>4636.5</v>
      </c>
    </row>
    <row r="10" spans="1:12" ht="13.5" customHeight="1" x14ac:dyDescent="0.25">
      <c r="B10" s="15" t="s">
        <v>43</v>
      </c>
      <c r="C10" s="18" t="s">
        <v>64</v>
      </c>
      <c r="D10" s="15">
        <v>30</v>
      </c>
      <c r="E10" s="8">
        <v>19.899999999999999</v>
      </c>
      <c r="F10" s="15">
        <v>35</v>
      </c>
      <c r="G10" s="25">
        <f t="shared" si="0"/>
        <v>5</v>
      </c>
      <c r="H10" s="25" t="str">
        <f t="shared" si="1"/>
        <v>Alta</v>
      </c>
      <c r="J10" s="6" t="s">
        <v>44</v>
      </c>
      <c r="K10" s="15">
        <f>SUMIF(B9:B65,J10,F9:F65)</f>
        <v>189</v>
      </c>
      <c r="L10" s="8">
        <f>SUMPRODUCT((B9:B65=J10)*F9:F65*E9:E65)</f>
        <v>3832.8</v>
      </c>
    </row>
    <row r="11" spans="1:12" ht="13.5" customHeight="1" x14ac:dyDescent="0.25">
      <c r="B11" s="16" t="s">
        <v>43</v>
      </c>
      <c r="C11" s="17" t="s">
        <v>71</v>
      </c>
      <c r="D11" s="16">
        <v>45</v>
      </c>
      <c r="E11" s="5">
        <v>23.5</v>
      </c>
      <c r="F11" s="16">
        <v>45</v>
      </c>
      <c r="G11" s="24">
        <f t="shared" si="0"/>
        <v>0</v>
      </c>
      <c r="H11" s="24" t="str">
        <f t="shared" si="1"/>
        <v>Alta</v>
      </c>
      <c r="J11" s="3" t="s">
        <v>45</v>
      </c>
      <c r="K11" s="12">
        <f>SUMIF(B9:B65,J11,F9:F65)</f>
        <v>272</v>
      </c>
      <c r="L11" s="26">
        <f>SUMPRODUCT((B9:B65=J11)*F9:F65*E9:E65)</f>
        <v>3576.6</v>
      </c>
    </row>
    <row r="12" spans="1:12" ht="13.5" customHeight="1" x14ac:dyDescent="0.25">
      <c r="B12" s="15" t="s">
        <v>43</v>
      </c>
      <c r="C12" s="18" t="s">
        <v>72</v>
      </c>
      <c r="D12" s="15">
        <v>35</v>
      </c>
      <c r="E12" s="8">
        <v>25</v>
      </c>
      <c r="F12" s="15">
        <v>32</v>
      </c>
      <c r="G12" s="25">
        <f t="shared" si="0"/>
        <v>-3</v>
      </c>
      <c r="H12" s="25" t="str">
        <f t="shared" si="1"/>
        <v>Normal</v>
      </c>
      <c r="J12" s="6" t="s">
        <v>46</v>
      </c>
      <c r="K12" s="15">
        <f>SUMIF(B9:B65,J12,F9:F65)</f>
        <v>218</v>
      </c>
      <c r="L12" s="8">
        <f>SUMPRODUCT((B9:B65=J12)*F9:F65*E9:E65)</f>
        <v>8298.5</v>
      </c>
    </row>
    <row r="13" spans="1:12" ht="13.5" customHeight="1" x14ac:dyDescent="0.25">
      <c r="B13" s="16" t="s">
        <v>43</v>
      </c>
      <c r="C13" s="17" t="s">
        <v>79</v>
      </c>
      <c r="D13" s="16">
        <v>25</v>
      </c>
      <c r="E13" s="5">
        <v>15.5</v>
      </c>
      <c r="F13" s="16">
        <v>25</v>
      </c>
      <c r="G13" s="24">
        <f t="shared" si="0"/>
        <v>0</v>
      </c>
      <c r="H13" s="24" t="str">
        <f t="shared" si="1"/>
        <v>Alta</v>
      </c>
      <c r="J13" s="3" t="s">
        <v>47</v>
      </c>
      <c r="K13" s="12">
        <f>SUMIF(B9:B65,J13,F9:F65)</f>
        <v>242</v>
      </c>
      <c r="L13" s="26">
        <f>SUMPRODUCT((B9:B65=J13)*F9:F65*E9:E65)</f>
        <v>6885.2999999999993</v>
      </c>
    </row>
    <row r="14" spans="1:12" ht="13.5" customHeight="1" x14ac:dyDescent="0.25">
      <c r="B14" s="15" t="s">
        <v>43</v>
      </c>
      <c r="C14" s="18" t="s">
        <v>92</v>
      </c>
      <c r="D14" s="15">
        <v>20</v>
      </c>
      <c r="E14" s="8">
        <v>17.899999999999999</v>
      </c>
      <c r="F14" s="15">
        <v>20</v>
      </c>
      <c r="G14" s="25">
        <f t="shared" si="0"/>
        <v>0</v>
      </c>
      <c r="H14" s="25" t="str">
        <f t="shared" si="1"/>
        <v>Alta</v>
      </c>
      <c r="J14" s="6" t="s">
        <v>48</v>
      </c>
      <c r="K14" s="15">
        <f>SUMIF(B9:B65,J14,F9:F65)</f>
        <v>275</v>
      </c>
      <c r="L14" s="8">
        <f>SUMPRODUCT((B9:B65=J14)*F9:F65*E9:E65)</f>
        <v>6211</v>
      </c>
    </row>
    <row r="15" spans="1:12" ht="13.5" customHeight="1" x14ac:dyDescent="0.25">
      <c r="B15" s="16" t="s">
        <v>43</v>
      </c>
      <c r="C15" s="17" t="s">
        <v>93</v>
      </c>
      <c r="D15" s="16">
        <v>15</v>
      </c>
      <c r="E15" s="5">
        <v>22</v>
      </c>
      <c r="F15" s="16">
        <v>15</v>
      </c>
      <c r="G15" s="24">
        <f t="shared" si="0"/>
        <v>0</v>
      </c>
      <c r="H15" s="24" t="str">
        <f t="shared" si="1"/>
        <v>Alta</v>
      </c>
      <c r="J15" s="3" t="s">
        <v>49</v>
      </c>
      <c r="K15" s="12">
        <f>SUMIF(B9:B65,J15,F9:F65)</f>
        <v>227</v>
      </c>
      <c r="L15" s="26">
        <f>SUMPRODUCT((B9:B65=J15)*F9:F65*E9:E65)</f>
        <v>4053.3</v>
      </c>
    </row>
    <row r="16" spans="1:12" ht="13.5" customHeight="1" x14ac:dyDescent="0.25">
      <c r="B16" s="15" t="s">
        <v>43</v>
      </c>
      <c r="C16" s="18" t="s">
        <v>94</v>
      </c>
      <c r="D16" s="15">
        <v>20</v>
      </c>
      <c r="E16" s="8">
        <v>22</v>
      </c>
      <c r="F16" s="15">
        <v>20</v>
      </c>
      <c r="G16" s="25">
        <f t="shared" si="0"/>
        <v>0</v>
      </c>
      <c r="H16" s="25" t="str">
        <f t="shared" si="1"/>
        <v>Alta</v>
      </c>
    </row>
    <row r="17" spans="2:8" ht="13.5" customHeight="1" x14ac:dyDescent="0.25">
      <c r="B17" s="16" t="s">
        <v>44</v>
      </c>
      <c r="C17" s="17" t="s">
        <v>59</v>
      </c>
      <c r="D17" s="16">
        <v>70</v>
      </c>
      <c r="E17" s="5">
        <v>18.600000000000001</v>
      </c>
      <c r="F17" s="16">
        <v>56</v>
      </c>
      <c r="G17" s="24">
        <f t="shared" si="0"/>
        <v>-14</v>
      </c>
      <c r="H17" s="24" t="str">
        <f t="shared" si="1"/>
        <v>Normal</v>
      </c>
    </row>
    <row r="18" spans="2:8" ht="13.5" customHeight="1" x14ac:dyDescent="0.25">
      <c r="B18" s="15" t="s">
        <v>44</v>
      </c>
      <c r="C18" s="18" t="s">
        <v>73</v>
      </c>
      <c r="D18" s="15">
        <v>40</v>
      </c>
      <c r="E18" s="8">
        <v>21.9</v>
      </c>
      <c r="F18" s="15">
        <v>35</v>
      </c>
      <c r="G18" s="25">
        <f t="shared" si="0"/>
        <v>-5</v>
      </c>
      <c r="H18" s="25" t="str">
        <f t="shared" si="1"/>
        <v>Normal</v>
      </c>
    </row>
    <row r="19" spans="2:8" ht="13.5" customHeight="1" x14ac:dyDescent="0.25">
      <c r="B19" s="16" t="s">
        <v>44</v>
      </c>
      <c r="C19" s="17" t="s">
        <v>74</v>
      </c>
      <c r="D19" s="16">
        <v>50</v>
      </c>
      <c r="E19" s="5">
        <v>16.399999999999999</v>
      </c>
      <c r="F19" s="16">
        <v>28</v>
      </c>
      <c r="G19" s="24">
        <f t="shared" si="0"/>
        <v>-22</v>
      </c>
      <c r="H19" s="24" t="str">
        <f t="shared" si="1"/>
        <v>Normal</v>
      </c>
    </row>
    <row r="20" spans="2:8" ht="13.5" customHeight="1" x14ac:dyDescent="0.25">
      <c r="B20" s="15" t="s">
        <v>44</v>
      </c>
      <c r="C20" s="18" t="s">
        <v>67</v>
      </c>
      <c r="D20" s="15">
        <v>20</v>
      </c>
      <c r="E20" s="8">
        <v>27.1</v>
      </c>
      <c r="F20" s="15">
        <v>20</v>
      </c>
      <c r="G20" s="25">
        <f t="shared" si="0"/>
        <v>0</v>
      </c>
      <c r="H20" s="25" t="str">
        <f t="shared" si="1"/>
        <v>Alta</v>
      </c>
    </row>
    <row r="21" spans="2:8" ht="13.5" customHeight="1" x14ac:dyDescent="0.25">
      <c r="B21" s="16" t="s">
        <v>44</v>
      </c>
      <c r="C21" s="17" t="s">
        <v>95</v>
      </c>
      <c r="D21" s="16">
        <v>15</v>
      </c>
      <c r="E21" s="5">
        <v>20</v>
      </c>
      <c r="F21" s="16">
        <v>15</v>
      </c>
      <c r="G21" s="24">
        <f t="shared" si="0"/>
        <v>0</v>
      </c>
      <c r="H21" s="24" t="str">
        <f t="shared" si="1"/>
        <v>Alta</v>
      </c>
    </row>
    <row r="22" spans="2:8" ht="13.5" customHeight="1" x14ac:dyDescent="0.25">
      <c r="B22" s="15" t="s">
        <v>44</v>
      </c>
      <c r="C22" s="18" t="s">
        <v>96</v>
      </c>
      <c r="D22" s="15">
        <v>15</v>
      </c>
      <c r="E22" s="8">
        <v>24.5</v>
      </c>
      <c r="F22" s="15">
        <v>15</v>
      </c>
      <c r="G22" s="25">
        <f t="shared" si="0"/>
        <v>0</v>
      </c>
      <c r="H22" s="25" t="str">
        <f t="shared" si="1"/>
        <v>Alta</v>
      </c>
    </row>
    <row r="23" spans="2:8" ht="13.5" customHeight="1" x14ac:dyDescent="0.25">
      <c r="B23" s="16" t="s">
        <v>44</v>
      </c>
      <c r="C23" s="17" t="s">
        <v>97</v>
      </c>
      <c r="D23" s="16">
        <v>20</v>
      </c>
      <c r="E23" s="5">
        <v>17.8</v>
      </c>
      <c r="F23" s="16">
        <v>20</v>
      </c>
      <c r="G23" s="24">
        <f t="shared" si="0"/>
        <v>0</v>
      </c>
      <c r="H23" s="24" t="str">
        <f t="shared" si="1"/>
        <v>Alta</v>
      </c>
    </row>
    <row r="24" spans="2:8" ht="13.5" customHeight="1" x14ac:dyDescent="0.25">
      <c r="B24" s="15" t="s">
        <v>45</v>
      </c>
      <c r="C24" s="18" t="s">
        <v>60</v>
      </c>
      <c r="D24" s="15">
        <v>50</v>
      </c>
      <c r="E24" s="8">
        <v>12.5</v>
      </c>
      <c r="F24" s="15">
        <v>45</v>
      </c>
      <c r="G24" s="25">
        <f t="shared" si="0"/>
        <v>-5</v>
      </c>
      <c r="H24" s="25" t="str">
        <f t="shared" si="1"/>
        <v>Normal</v>
      </c>
    </row>
    <row r="25" spans="2:8" ht="13.5" customHeight="1" x14ac:dyDescent="0.25">
      <c r="B25" s="16" t="s">
        <v>45</v>
      </c>
      <c r="C25" s="17" t="s">
        <v>82</v>
      </c>
      <c r="D25" s="16">
        <v>30</v>
      </c>
      <c r="E25" s="5">
        <v>15</v>
      </c>
      <c r="F25" s="16">
        <v>30</v>
      </c>
      <c r="G25" s="24">
        <f t="shared" si="0"/>
        <v>0</v>
      </c>
      <c r="H25" s="24" t="str">
        <f t="shared" si="1"/>
        <v>Alta</v>
      </c>
    </row>
    <row r="26" spans="2:8" ht="13.5" customHeight="1" x14ac:dyDescent="0.25">
      <c r="B26" s="15" t="s">
        <v>45</v>
      </c>
      <c r="C26" s="18" t="s">
        <v>76</v>
      </c>
      <c r="D26" s="15">
        <v>60</v>
      </c>
      <c r="E26" s="8">
        <v>12.8</v>
      </c>
      <c r="F26" s="15">
        <v>52</v>
      </c>
      <c r="G26" s="25">
        <f t="shared" si="0"/>
        <v>-8</v>
      </c>
      <c r="H26" s="25" t="str">
        <f t="shared" si="1"/>
        <v>Normal</v>
      </c>
    </row>
    <row r="27" spans="2:8" ht="13.5" customHeight="1" x14ac:dyDescent="0.25">
      <c r="B27" s="16" t="s">
        <v>45</v>
      </c>
      <c r="C27" s="17" t="s">
        <v>98</v>
      </c>
      <c r="D27" s="16">
        <v>30</v>
      </c>
      <c r="E27" s="5">
        <v>11.9</v>
      </c>
      <c r="F27" s="16">
        <v>30</v>
      </c>
      <c r="G27" s="24">
        <f t="shared" si="0"/>
        <v>0</v>
      </c>
      <c r="H27" s="24" t="str">
        <f t="shared" si="1"/>
        <v>Alta</v>
      </c>
    </row>
    <row r="28" spans="2:8" ht="13.5" customHeight="1" x14ac:dyDescent="0.25">
      <c r="B28" s="15" t="s">
        <v>45</v>
      </c>
      <c r="C28" s="18" t="s">
        <v>99</v>
      </c>
      <c r="D28" s="15">
        <v>25</v>
      </c>
      <c r="E28" s="8">
        <v>10</v>
      </c>
      <c r="F28" s="15">
        <v>25</v>
      </c>
      <c r="G28" s="25">
        <f t="shared" si="0"/>
        <v>0</v>
      </c>
      <c r="H28" s="25" t="str">
        <f t="shared" si="1"/>
        <v>Alta</v>
      </c>
    </row>
    <row r="29" spans="2:8" ht="13.5" customHeight="1" x14ac:dyDescent="0.25">
      <c r="B29" s="16" t="s">
        <v>45</v>
      </c>
      <c r="C29" s="17" t="s">
        <v>100</v>
      </c>
      <c r="D29" s="16">
        <v>15</v>
      </c>
      <c r="E29" s="5">
        <v>14.7</v>
      </c>
      <c r="F29" s="16">
        <v>15</v>
      </c>
      <c r="G29" s="24">
        <f t="shared" si="0"/>
        <v>0</v>
      </c>
      <c r="H29" s="24" t="str">
        <f t="shared" si="1"/>
        <v>Alta</v>
      </c>
    </row>
    <row r="30" spans="2:8" ht="13.5" customHeight="1" x14ac:dyDescent="0.25">
      <c r="B30" s="15" t="s">
        <v>45</v>
      </c>
      <c r="C30" s="18" t="s">
        <v>101</v>
      </c>
      <c r="D30" s="15">
        <v>20</v>
      </c>
      <c r="E30" s="8">
        <v>15</v>
      </c>
      <c r="F30" s="15">
        <v>20</v>
      </c>
      <c r="G30" s="25">
        <f t="shared" si="0"/>
        <v>0</v>
      </c>
      <c r="H30" s="25" t="str">
        <f t="shared" si="1"/>
        <v>Alta</v>
      </c>
    </row>
    <row r="31" spans="2:8" ht="13.5" customHeight="1" x14ac:dyDescent="0.25">
      <c r="B31" s="16" t="s">
        <v>45</v>
      </c>
      <c r="C31" s="17" t="s">
        <v>102</v>
      </c>
      <c r="D31" s="16">
        <v>20</v>
      </c>
      <c r="E31" s="5">
        <v>14.7</v>
      </c>
      <c r="F31" s="16">
        <v>20</v>
      </c>
      <c r="G31" s="24">
        <f t="shared" si="0"/>
        <v>0</v>
      </c>
      <c r="H31" s="24" t="str">
        <f t="shared" si="1"/>
        <v>Alta</v>
      </c>
    </row>
    <row r="32" spans="2:8" ht="13.5" customHeight="1" x14ac:dyDescent="0.25">
      <c r="B32" s="15" t="s">
        <v>45</v>
      </c>
      <c r="C32" s="18" t="s">
        <v>103</v>
      </c>
      <c r="D32" s="15">
        <v>10</v>
      </c>
      <c r="E32" s="8">
        <v>13.5</v>
      </c>
      <c r="F32" s="15">
        <v>10</v>
      </c>
      <c r="G32" s="25">
        <f t="shared" si="0"/>
        <v>0</v>
      </c>
      <c r="H32" s="25" t="str">
        <f t="shared" si="1"/>
        <v>Alta</v>
      </c>
    </row>
    <row r="33" spans="2:8" ht="13.5" customHeight="1" x14ac:dyDescent="0.25">
      <c r="B33" s="16" t="s">
        <v>45</v>
      </c>
      <c r="C33" s="17" t="s">
        <v>104</v>
      </c>
      <c r="D33" s="16">
        <v>15</v>
      </c>
      <c r="E33" s="5">
        <v>12.8</v>
      </c>
      <c r="F33" s="16">
        <v>15</v>
      </c>
      <c r="G33" s="24">
        <f t="shared" si="0"/>
        <v>0</v>
      </c>
      <c r="H33" s="24" t="str">
        <f t="shared" si="1"/>
        <v>Alta</v>
      </c>
    </row>
    <row r="34" spans="2:8" ht="13.5" customHeight="1" x14ac:dyDescent="0.25">
      <c r="B34" s="15" t="s">
        <v>45</v>
      </c>
      <c r="C34" s="18" t="s">
        <v>105</v>
      </c>
      <c r="D34" s="15">
        <v>10</v>
      </c>
      <c r="E34" s="8">
        <v>15</v>
      </c>
      <c r="F34" s="15">
        <v>10</v>
      </c>
      <c r="G34" s="25">
        <f t="shared" si="0"/>
        <v>0</v>
      </c>
      <c r="H34" s="25" t="str">
        <f t="shared" si="1"/>
        <v>Alta</v>
      </c>
    </row>
    <row r="35" spans="2:8" ht="13.5" customHeight="1" x14ac:dyDescent="0.25">
      <c r="B35" s="16" t="s">
        <v>46</v>
      </c>
      <c r="C35" s="17" t="s">
        <v>61</v>
      </c>
      <c r="D35" s="16">
        <v>30</v>
      </c>
      <c r="E35" s="5">
        <v>35</v>
      </c>
      <c r="F35" s="16">
        <v>15</v>
      </c>
      <c r="G35" s="24">
        <f t="shared" si="0"/>
        <v>-15</v>
      </c>
      <c r="H35" s="24" t="str">
        <f t="shared" si="1"/>
        <v>Normal</v>
      </c>
    </row>
    <row r="36" spans="2:8" ht="13.5" customHeight="1" x14ac:dyDescent="0.25">
      <c r="B36" s="15" t="s">
        <v>46</v>
      </c>
      <c r="C36" s="18" t="s">
        <v>69</v>
      </c>
      <c r="D36" s="15">
        <v>20</v>
      </c>
      <c r="E36" s="8">
        <v>40</v>
      </c>
      <c r="F36" s="15">
        <v>8</v>
      </c>
      <c r="G36" s="25">
        <f t="shared" si="0"/>
        <v>-12</v>
      </c>
      <c r="H36" s="25" t="str">
        <f t="shared" si="1"/>
        <v>Baixa</v>
      </c>
    </row>
    <row r="37" spans="2:8" ht="13.5" customHeight="1" x14ac:dyDescent="0.25">
      <c r="B37" s="16" t="s">
        <v>46</v>
      </c>
      <c r="C37" s="17" t="s">
        <v>77</v>
      </c>
      <c r="D37" s="16">
        <v>40</v>
      </c>
      <c r="E37" s="5">
        <v>38.5</v>
      </c>
      <c r="F37" s="16">
        <v>35</v>
      </c>
      <c r="G37" s="24">
        <f t="shared" si="0"/>
        <v>-5</v>
      </c>
      <c r="H37" s="24" t="str">
        <f t="shared" si="1"/>
        <v>Normal</v>
      </c>
    </row>
    <row r="38" spans="2:8" ht="13.5" customHeight="1" x14ac:dyDescent="0.25">
      <c r="B38" s="15" t="s">
        <v>46</v>
      </c>
      <c r="C38" s="18" t="s">
        <v>65</v>
      </c>
      <c r="D38" s="15">
        <v>45</v>
      </c>
      <c r="E38" s="8">
        <v>42</v>
      </c>
      <c r="F38" s="15">
        <v>15</v>
      </c>
      <c r="G38" s="25">
        <f t="shared" si="0"/>
        <v>-30</v>
      </c>
      <c r="H38" s="25" t="str">
        <f t="shared" si="1"/>
        <v>Baixa</v>
      </c>
    </row>
    <row r="39" spans="2:8" ht="13.5" customHeight="1" x14ac:dyDescent="0.25">
      <c r="B39" s="16" t="s">
        <v>46</v>
      </c>
      <c r="C39" s="17" t="s">
        <v>78</v>
      </c>
      <c r="D39" s="16">
        <v>30</v>
      </c>
      <c r="E39" s="5">
        <v>50</v>
      </c>
      <c r="F39" s="16">
        <v>20</v>
      </c>
      <c r="G39" s="24">
        <f t="shared" si="0"/>
        <v>-10</v>
      </c>
      <c r="H39" s="24" t="str">
        <f t="shared" si="1"/>
        <v>Normal</v>
      </c>
    </row>
    <row r="40" spans="2:8" ht="13.5" customHeight="1" x14ac:dyDescent="0.25">
      <c r="B40" s="15" t="s">
        <v>46</v>
      </c>
      <c r="C40" s="18" t="s">
        <v>106</v>
      </c>
      <c r="D40" s="15">
        <v>55</v>
      </c>
      <c r="E40" s="8">
        <v>29.9</v>
      </c>
      <c r="F40" s="15">
        <v>55</v>
      </c>
      <c r="G40" s="25">
        <f t="shared" si="0"/>
        <v>0</v>
      </c>
      <c r="H40" s="25" t="str">
        <f t="shared" si="1"/>
        <v>Alta</v>
      </c>
    </row>
    <row r="41" spans="2:8" ht="13.5" customHeight="1" x14ac:dyDescent="0.25">
      <c r="B41" s="16" t="s">
        <v>46</v>
      </c>
      <c r="C41" s="17" t="s">
        <v>107</v>
      </c>
      <c r="D41" s="16">
        <v>35</v>
      </c>
      <c r="E41" s="5">
        <v>39.9</v>
      </c>
      <c r="F41" s="16">
        <v>35</v>
      </c>
      <c r="G41" s="24">
        <f t="shared" ref="G41:G72" si="2">F41-D41</f>
        <v>0</v>
      </c>
      <c r="H41" s="24" t="str">
        <f t="shared" ref="H41:H65" si="3">IF(F41&gt;=D41,"Alta",IF(F41&gt;=D41*0.5,"Normal","Baixa"))</f>
        <v>Alta</v>
      </c>
    </row>
    <row r="42" spans="2:8" ht="13.5" customHeight="1" x14ac:dyDescent="0.25">
      <c r="B42" s="15" t="s">
        <v>46</v>
      </c>
      <c r="C42" s="18" t="s">
        <v>108</v>
      </c>
      <c r="D42" s="15">
        <v>15</v>
      </c>
      <c r="E42" s="8">
        <v>45</v>
      </c>
      <c r="F42" s="15">
        <v>15</v>
      </c>
      <c r="G42" s="25">
        <f t="shared" si="2"/>
        <v>0</v>
      </c>
      <c r="H42" s="25" t="str">
        <f t="shared" si="3"/>
        <v>Alta</v>
      </c>
    </row>
    <row r="43" spans="2:8" ht="13.5" customHeight="1" x14ac:dyDescent="0.25">
      <c r="B43" s="16" t="s">
        <v>46</v>
      </c>
      <c r="C43" s="17" t="s">
        <v>109</v>
      </c>
      <c r="D43" s="16">
        <v>20</v>
      </c>
      <c r="E43" s="5">
        <v>38</v>
      </c>
      <c r="F43" s="16">
        <v>20</v>
      </c>
      <c r="G43" s="24">
        <f t="shared" si="2"/>
        <v>0</v>
      </c>
      <c r="H43" s="24" t="str">
        <f t="shared" si="3"/>
        <v>Alta</v>
      </c>
    </row>
    <row r="44" spans="2:8" ht="13.5" customHeight="1" x14ac:dyDescent="0.25">
      <c r="B44" s="15" t="s">
        <v>47</v>
      </c>
      <c r="C44" s="18" t="s">
        <v>68</v>
      </c>
      <c r="D44" s="15">
        <v>55</v>
      </c>
      <c r="E44" s="8">
        <v>29.9</v>
      </c>
      <c r="F44" s="15">
        <v>77</v>
      </c>
      <c r="G44" s="25">
        <f t="shared" si="2"/>
        <v>22</v>
      </c>
      <c r="H44" s="25" t="str">
        <f t="shared" si="3"/>
        <v>Alta</v>
      </c>
    </row>
    <row r="45" spans="2:8" ht="13.5" customHeight="1" x14ac:dyDescent="0.25">
      <c r="B45" s="16" t="s">
        <v>47</v>
      </c>
      <c r="C45" s="17" t="s">
        <v>62</v>
      </c>
      <c r="D45" s="16">
        <v>40</v>
      </c>
      <c r="E45" s="5">
        <v>20</v>
      </c>
      <c r="F45" s="16">
        <v>50</v>
      </c>
      <c r="G45" s="24">
        <f t="shared" si="2"/>
        <v>10</v>
      </c>
      <c r="H45" s="24" t="str">
        <f t="shared" si="3"/>
        <v>Alta</v>
      </c>
    </row>
    <row r="46" spans="2:8" ht="13.5" customHeight="1" x14ac:dyDescent="0.25">
      <c r="B46" s="15" t="s">
        <v>47</v>
      </c>
      <c r="C46" s="18" t="s">
        <v>75</v>
      </c>
      <c r="D46" s="15">
        <v>25</v>
      </c>
      <c r="E46" s="8">
        <v>34.9</v>
      </c>
      <c r="F46" s="15">
        <v>30</v>
      </c>
      <c r="G46" s="25">
        <f t="shared" si="2"/>
        <v>5</v>
      </c>
      <c r="H46" s="25" t="str">
        <f t="shared" si="3"/>
        <v>Alta</v>
      </c>
    </row>
    <row r="47" spans="2:8" ht="13.5" customHeight="1" x14ac:dyDescent="0.25">
      <c r="B47" s="16" t="s">
        <v>47</v>
      </c>
      <c r="C47" s="17" t="s">
        <v>110</v>
      </c>
      <c r="D47" s="16">
        <v>30</v>
      </c>
      <c r="E47" s="5">
        <v>32.5</v>
      </c>
      <c r="F47" s="16">
        <v>30</v>
      </c>
      <c r="G47" s="24">
        <f t="shared" si="2"/>
        <v>0</v>
      </c>
      <c r="H47" s="24" t="str">
        <f t="shared" si="3"/>
        <v>Alta</v>
      </c>
    </row>
    <row r="48" spans="2:8" ht="13.5" customHeight="1" x14ac:dyDescent="0.25">
      <c r="B48" s="15" t="s">
        <v>47</v>
      </c>
      <c r="C48" s="18" t="s">
        <v>111</v>
      </c>
      <c r="D48" s="15">
        <v>20</v>
      </c>
      <c r="E48" s="8">
        <v>36</v>
      </c>
      <c r="F48" s="15">
        <v>20</v>
      </c>
      <c r="G48" s="25">
        <f t="shared" si="2"/>
        <v>0</v>
      </c>
      <c r="H48" s="25" t="str">
        <f t="shared" si="3"/>
        <v>Alta</v>
      </c>
    </row>
    <row r="49" spans="2:8" ht="13.5" customHeight="1" x14ac:dyDescent="0.25">
      <c r="B49" s="16" t="s">
        <v>47</v>
      </c>
      <c r="C49" s="17" t="s">
        <v>112</v>
      </c>
      <c r="D49" s="16">
        <v>15</v>
      </c>
      <c r="E49" s="5">
        <v>28.2</v>
      </c>
      <c r="F49" s="16">
        <v>15</v>
      </c>
      <c r="G49" s="24">
        <f t="shared" si="2"/>
        <v>0</v>
      </c>
      <c r="H49" s="24" t="str">
        <f t="shared" si="3"/>
        <v>Alta</v>
      </c>
    </row>
    <row r="50" spans="2:8" ht="13.5" customHeight="1" x14ac:dyDescent="0.25">
      <c r="B50" s="15" t="s">
        <v>47</v>
      </c>
      <c r="C50" s="18" t="s">
        <v>113</v>
      </c>
      <c r="D50" s="15">
        <v>20</v>
      </c>
      <c r="E50" s="8">
        <v>20.9</v>
      </c>
      <c r="F50" s="15">
        <v>20</v>
      </c>
      <c r="G50" s="25">
        <f t="shared" si="2"/>
        <v>0</v>
      </c>
      <c r="H50" s="25" t="str">
        <f t="shared" si="3"/>
        <v>Alta</v>
      </c>
    </row>
    <row r="51" spans="2:8" ht="13.5" customHeight="1" x14ac:dyDescent="0.25">
      <c r="B51" s="16" t="s">
        <v>48</v>
      </c>
      <c r="C51" s="17" t="s">
        <v>66</v>
      </c>
      <c r="D51" s="16">
        <v>30</v>
      </c>
      <c r="E51" s="5">
        <v>23.4</v>
      </c>
      <c r="F51" s="16">
        <v>40</v>
      </c>
      <c r="G51" s="24">
        <f t="shared" si="2"/>
        <v>10</v>
      </c>
      <c r="H51" s="24" t="str">
        <f t="shared" si="3"/>
        <v>Alta</v>
      </c>
    </row>
    <row r="52" spans="2:8" ht="13.5" customHeight="1" x14ac:dyDescent="0.25">
      <c r="B52" s="15" t="s">
        <v>48</v>
      </c>
      <c r="C52" s="18" t="s">
        <v>114</v>
      </c>
      <c r="D52" s="15">
        <v>35</v>
      </c>
      <c r="E52" s="8">
        <v>21.2</v>
      </c>
      <c r="F52" s="15">
        <v>50</v>
      </c>
      <c r="G52" s="25">
        <f t="shared" si="2"/>
        <v>15</v>
      </c>
      <c r="H52" s="25" t="str">
        <f t="shared" si="3"/>
        <v>Alta</v>
      </c>
    </row>
    <row r="53" spans="2:8" ht="13.5" customHeight="1" x14ac:dyDescent="0.25">
      <c r="B53" s="16" t="s">
        <v>48</v>
      </c>
      <c r="C53" s="17" t="s">
        <v>81</v>
      </c>
      <c r="D53" s="16">
        <v>60</v>
      </c>
      <c r="E53" s="5">
        <v>19.899999999999999</v>
      </c>
      <c r="F53" s="16">
        <v>75</v>
      </c>
      <c r="G53" s="24">
        <f t="shared" si="2"/>
        <v>15</v>
      </c>
      <c r="H53" s="24" t="str">
        <f t="shared" si="3"/>
        <v>Alta</v>
      </c>
    </row>
    <row r="54" spans="2:8" ht="13.5" customHeight="1" x14ac:dyDescent="0.25">
      <c r="B54" s="15" t="s">
        <v>48</v>
      </c>
      <c r="C54" s="18" t="s">
        <v>115</v>
      </c>
      <c r="D54" s="15">
        <v>25</v>
      </c>
      <c r="E54" s="8">
        <v>24</v>
      </c>
      <c r="F54" s="15">
        <v>25</v>
      </c>
      <c r="G54" s="25">
        <f t="shared" si="2"/>
        <v>0</v>
      </c>
      <c r="H54" s="25" t="str">
        <f t="shared" si="3"/>
        <v>Alta</v>
      </c>
    </row>
    <row r="55" spans="2:8" ht="13.5" customHeight="1" x14ac:dyDescent="0.25">
      <c r="B55" s="16" t="s">
        <v>48</v>
      </c>
      <c r="C55" s="17" t="s">
        <v>116</v>
      </c>
      <c r="D55" s="16">
        <v>25</v>
      </c>
      <c r="E55" s="5">
        <v>17.3</v>
      </c>
      <c r="F55" s="16">
        <v>25</v>
      </c>
      <c r="G55" s="24">
        <f t="shared" si="2"/>
        <v>0</v>
      </c>
      <c r="H55" s="24" t="str">
        <f t="shared" si="3"/>
        <v>Alta</v>
      </c>
    </row>
    <row r="56" spans="2:8" ht="13.5" customHeight="1" x14ac:dyDescent="0.25">
      <c r="B56" s="15" t="s">
        <v>48</v>
      </c>
      <c r="C56" s="18" t="s">
        <v>117</v>
      </c>
      <c r="D56" s="15">
        <v>20</v>
      </c>
      <c r="E56" s="8">
        <v>28</v>
      </c>
      <c r="F56" s="15">
        <v>20</v>
      </c>
      <c r="G56" s="25">
        <f t="shared" si="2"/>
        <v>0</v>
      </c>
      <c r="H56" s="25" t="str">
        <f t="shared" si="3"/>
        <v>Alta</v>
      </c>
    </row>
    <row r="57" spans="2:8" ht="13.5" customHeight="1" x14ac:dyDescent="0.25">
      <c r="B57" s="16" t="s">
        <v>48</v>
      </c>
      <c r="C57" s="17" t="s">
        <v>118</v>
      </c>
      <c r="D57" s="16">
        <v>20</v>
      </c>
      <c r="E57" s="5">
        <v>28.9</v>
      </c>
      <c r="F57" s="16">
        <v>20</v>
      </c>
      <c r="G57" s="24">
        <f t="shared" si="2"/>
        <v>0</v>
      </c>
      <c r="H57" s="24" t="str">
        <f t="shared" si="3"/>
        <v>Alta</v>
      </c>
    </row>
    <row r="58" spans="2:8" ht="13.5" customHeight="1" x14ac:dyDescent="0.25">
      <c r="B58" s="15" t="s">
        <v>48</v>
      </c>
      <c r="C58" s="18" t="s">
        <v>119</v>
      </c>
      <c r="D58" s="15">
        <v>20</v>
      </c>
      <c r="E58" s="8">
        <v>27.6</v>
      </c>
      <c r="F58" s="15">
        <v>20</v>
      </c>
      <c r="G58" s="25">
        <f t="shared" si="2"/>
        <v>0</v>
      </c>
      <c r="H58" s="25" t="str">
        <f t="shared" si="3"/>
        <v>Alta</v>
      </c>
    </row>
    <row r="59" spans="2:8" ht="13.5" customHeight="1" x14ac:dyDescent="0.25">
      <c r="B59" s="16" t="s">
        <v>49</v>
      </c>
      <c r="C59" s="17" t="s">
        <v>70</v>
      </c>
      <c r="D59" s="16">
        <v>45</v>
      </c>
      <c r="E59" s="5">
        <v>15</v>
      </c>
      <c r="F59" s="16">
        <v>40</v>
      </c>
      <c r="G59" s="24">
        <f t="shared" si="2"/>
        <v>-5</v>
      </c>
      <c r="H59" s="24" t="str">
        <f t="shared" si="3"/>
        <v>Normal</v>
      </c>
    </row>
    <row r="60" spans="2:8" ht="13.5" customHeight="1" x14ac:dyDescent="0.25">
      <c r="B60" s="15" t="s">
        <v>49</v>
      </c>
      <c r="C60" s="18" t="s">
        <v>63</v>
      </c>
      <c r="D60" s="15">
        <v>35</v>
      </c>
      <c r="E60" s="8">
        <v>18.2</v>
      </c>
      <c r="F60" s="15">
        <v>35</v>
      </c>
      <c r="G60" s="25">
        <f t="shared" si="2"/>
        <v>0</v>
      </c>
      <c r="H60" s="25" t="str">
        <f t="shared" si="3"/>
        <v>Alta</v>
      </c>
    </row>
    <row r="61" spans="2:8" ht="13.5" customHeight="1" x14ac:dyDescent="0.25">
      <c r="B61" s="16" t="s">
        <v>49</v>
      </c>
      <c r="C61" s="17" t="s">
        <v>80</v>
      </c>
      <c r="D61" s="16">
        <v>47</v>
      </c>
      <c r="E61" s="5">
        <v>16.399999999999999</v>
      </c>
      <c r="F61" s="16">
        <v>57</v>
      </c>
      <c r="G61" s="24">
        <f t="shared" si="2"/>
        <v>10</v>
      </c>
      <c r="H61" s="24" t="str">
        <f t="shared" si="3"/>
        <v>Alta</v>
      </c>
    </row>
    <row r="62" spans="2:8" ht="13.5" customHeight="1" x14ac:dyDescent="0.25">
      <c r="B62" s="15" t="s">
        <v>49</v>
      </c>
      <c r="C62" s="18" t="s">
        <v>120</v>
      </c>
      <c r="D62" s="15">
        <v>30</v>
      </c>
      <c r="E62" s="8">
        <v>21.9</v>
      </c>
      <c r="F62" s="15">
        <v>30</v>
      </c>
      <c r="G62" s="25">
        <f t="shared" si="2"/>
        <v>0</v>
      </c>
      <c r="H62" s="25" t="str">
        <f t="shared" si="3"/>
        <v>Alta</v>
      </c>
    </row>
    <row r="63" spans="2:8" ht="13.5" customHeight="1" x14ac:dyDescent="0.25">
      <c r="B63" s="16" t="s">
        <v>49</v>
      </c>
      <c r="C63" s="17" t="s">
        <v>121</v>
      </c>
      <c r="D63" s="16">
        <v>25</v>
      </c>
      <c r="E63" s="5">
        <v>18.5</v>
      </c>
      <c r="F63" s="16">
        <v>25</v>
      </c>
      <c r="G63" s="24">
        <f t="shared" si="2"/>
        <v>0</v>
      </c>
      <c r="H63" s="24" t="str">
        <f t="shared" si="3"/>
        <v>Alta</v>
      </c>
    </row>
    <row r="64" spans="2:8" ht="13.5" customHeight="1" x14ac:dyDescent="0.25">
      <c r="B64" s="15" t="s">
        <v>49</v>
      </c>
      <c r="C64" s="18" t="s">
        <v>122</v>
      </c>
      <c r="D64" s="15">
        <v>20</v>
      </c>
      <c r="E64" s="8">
        <v>19</v>
      </c>
      <c r="F64" s="15">
        <v>20</v>
      </c>
      <c r="G64" s="25">
        <f t="shared" si="2"/>
        <v>0</v>
      </c>
      <c r="H64" s="25" t="str">
        <f t="shared" si="3"/>
        <v>Alta</v>
      </c>
    </row>
    <row r="65" spans="2:8" ht="13.5" customHeight="1" x14ac:dyDescent="0.25">
      <c r="B65" s="16" t="s">
        <v>49</v>
      </c>
      <c r="C65" s="17" t="s">
        <v>123</v>
      </c>
      <c r="D65" s="16">
        <v>20</v>
      </c>
      <c r="E65" s="5">
        <v>19.100000000000001</v>
      </c>
      <c r="F65" s="16">
        <v>20</v>
      </c>
      <c r="G65" s="24">
        <f t="shared" si="2"/>
        <v>0</v>
      </c>
      <c r="H65" s="24" t="str">
        <f t="shared" si="3"/>
        <v>Alta</v>
      </c>
    </row>
    <row r="66" spans="2:8" ht="6" customHeight="1" x14ac:dyDescent="0.25"/>
    <row r="68" spans="2:8" ht="19.5" customHeight="1" x14ac:dyDescent="0.25"/>
    <row r="69" spans="2:8" ht="18" customHeight="1" x14ac:dyDescent="0.25"/>
    <row r="70" spans="2:8" ht="15.75" customHeight="1" x14ac:dyDescent="0.25"/>
    <row r="71" spans="2:8" ht="15.75" customHeight="1" x14ac:dyDescent="0.25"/>
    <row r="72" spans="2:8" ht="15.75" customHeight="1" x14ac:dyDescent="0.25"/>
    <row r="73" spans="2:8" ht="15.75" customHeight="1" x14ac:dyDescent="0.25"/>
    <row r="74" spans="2:8" ht="15.75" customHeight="1" x14ac:dyDescent="0.25"/>
    <row r="75" spans="2:8" ht="15.75" customHeight="1" x14ac:dyDescent="0.25"/>
    <row r="76" spans="2:8" ht="15.75" customHeight="1" x14ac:dyDescent="0.25"/>
  </sheetData>
  <mergeCells count="15">
    <mergeCell ref="B1:L1"/>
    <mergeCell ref="K3:L3"/>
    <mergeCell ref="J7:L7"/>
    <mergeCell ref="K5:L5"/>
    <mergeCell ref="E4:G4"/>
    <mergeCell ref="E3:G3"/>
    <mergeCell ref="B7:H7"/>
    <mergeCell ref="K4:L4"/>
    <mergeCell ref="H3:J3"/>
    <mergeCell ref="B3:D3"/>
    <mergeCell ref="B5:D5"/>
    <mergeCell ref="E5:G5"/>
    <mergeCell ref="H5:J5"/>
    <mergeCell ref="B4:D4"/>
    <mergeCell ref="H4:J4"/>
  </mergeCells>
  <conditionalFormatting sqref="H9:H65">
    <cfRule type="cellIs" dxfId="2" priority="2" operator="equal">
      <formula>"Alta"</formula>
    </cfRule>
    <cfRule type="cellIs" dxfId="1" priority="3" operator="equal">
      <formula>"Normal"</formula>
    </cfRule>
    <cfRule type="cellIs" dxfId="0" priority="4" operator="equal">
      <formula>"Baixa"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9.9978637043366805E-2"/>
  </sheetPr>
  <dimension ref="B1:I110"/>
  <sheetViews>
    <sheetView showGridLines="0" zoomScaleNormal="100" workbookViewId="0"/>
  </sheetViews>
  <sheetFormatPr defaultColWidth="8.7109375" defaultRowHeight="15" x14ac:dyDescent="0.25"/>
  <cols>
    <col min="1" max="1" width="1.5703125" customWidth="1"/>
    <col min="2" max="2" width="12" customWidth="1"/>
    <col min="3" max="3" width="14" customWidth="1"/>
    <col min="4" max="4" width="28" customWidth="1"/>
    <col min="5" max="5" width="26" customWidth="1"/>
    <col min="6" max="6" width="10" customWidth="1"/>
    <col min="7" max="8" width="14" customWidth="1"/>
    <col min="9" max="9" width="16" customWidth="1"/>
  </cols>
  <sheetData>
    <row r="1" spans="2:9" ht="27.75" customHeight="1" x14ac:dyDescent="0.25">
      <c r="B1" s="69" t="s">
        <v>127</v>
      </c>
      <c r="C1" s="59"/>
      <c r="D1" s="59"/>
      <c r="E1" s="59"/>
      <c r="F1" s="59"/>
      <c r="G1" s="59"/>
      <c r="H1" s="59"/>
      <c r="I1" s="59"/>
    </row>
    <row r="2" spans="2:9" ht="15.75" customHeight="1" x14ac:dyDescent="0.25">
      <c r="B2" s="70" t="s">
        <v>128</v>
      </c>
      <c r="C2" s="59"/>
      <c r="D2" s="59"/>
      <c r="E2" s="59"/>
      <c r="F2" s="59"/>
      <c r="G2" s="59"/>
      <c r="H2" s="59"/>
      <c r="I2" s="59"/>
    </row>
    <row r="3" spans="2:9" ht="18" customHeight="1" x14ac:dyDescent="0.25">
      <c r="B3" s="2" t="s">
        <v>19</v>
      </c>
      <c r="C3" s="2" t="s">
        <v>20</v>
      </c>
      <c r="D3" s="2" t="s">
        <v>21</v>
      </c>
      <c r="E3" s="2" t="s">
        <v>22</v>
      </c>
      <c r="F3" s="2" t="s">
        <v>11</v>
      </c>
      <c r="G3" s="2" t="s">
        <v>23</v>
      </c>
      <c r="H3" s="2" t="s">
        <v>10</v>
      </c>
      <c r="I3" s="2" t="s">
        <v>129</v>
      </c>
    </row>
    <row r="4" spans="2:9" ht="13.5" customHeight="1" x14ac:dyDescent="0.25">
      <c r="B4" s="27" t="s">
        <v>130</v>
      </c>
      <c r="C4" s="27" t="s">
        <v>1</v>
      </c>
      <c r="D4" s="28" t="s">
        <v>26</v>
      </c>
      <c r="E4" s="28" t="s">
        <v>58</v>
      </c>
      <c r="F4" s="27">
        <v>15</v>
      </c>
      <c r="G4" s="29">
        <v>283.5</v>
      </c>
      <c r="H4" s="27" t="s">
        <v>131</v>
      </c>
      <c r="I4" s="27" t="s">
        <v>132</v>
      </c>
    </row>
    <row r="5" spans="2:9" ht="13.5" customHeight="1" x14ac:dyDescent="0.25">
      <c r="B5" s="15" t="s">
        <v>133</v>
      </c>
      <c r="C5" s="15" t="s">
        <v>1</v>
      </c>
      <c r="D5" s="18" t="s">
        <v>28</v>
      </c>
      <c r="E5" s="18" t="s">
        <v>59</v>
      </c>
      <c r="F5" s="15">
        <v>20</v>
      </c>
      <c r="G5" s="7">
        <v>356</v>
      </c>
      <c r="H5" s="15" t="s">
        <v>131</v>
      </c>
      <c r="I5" s="15" t="s">
        <v>134</v>
      </c>
    </row>
    <row r="6" spans="2:9" ht="13.5" customHeight="1" x14ac:dyDescent="0.25">
      <c r="B6" s="27" t="s">
        <v>132</v>
      </c>
      <c r="C6" s="27" t="s">
        <v>1</v>
      </c>
      <c r="D6" s="28" t="s">
        <v>25</v>
      </c>
      <c r="E6" s="28" t="s">
        <v>60</v>
      </c>
      <c r="F6" s="27">
        <v>10</v>
      </c>
      <c r="G6" s="29">
        <v>125</v>
      </c>
      <c r="H6" s="27" t="s">
        <v>131</v>
      </c>
      <c r="I6" s="27" t="s">
        <v>135</v>
      </c>
    </row>
    <row r="7" spans="2:9" ht="13.5" customHeight="1" x14ac:dyDescent="0.25">
      <c r="B7" s="15" t="s">
        <v>136</v>
      </c>
      <c r="C7" s="15" t="s">
        <v>1</v>
      </c>
      <c r="D7" s="18" t="s">
        <v>29</v>
      </c>
      <c r="E7" s="18" t="s">
        <v>61</v>
      </c>
      <c r="F7" s="15">
        <v>12</v>
      </c>
      <c r="G7" s="7">
        <v>420</v>
      </c>
      <c r="H7" s="15" t="s">
        <v>131</v>
      </c>
      <c r="I7" s="15" t="s">
        <v>137</v>
      </c>
    </row>
    <row r="8" spans="2:9" ht="13.5" customHeight="1" x14ac:dyDescent="0.25">
      <c r="B8" s="27" t="s">
        <v>135</v>
      </c>
      <c r="C8" s="27" t="s">
        <v>1</v>
      </c>
      <c r="D8" s="28" t="s">
        <v>27</v>
      </c>
      <c r="E8" s="28" t="s">
        <v>62</v>
      </c>
      <c r="F8" s="27">
        <v>18</v>
      </c>
      <c r="G8" s="29">
        <v>360</v>
      </c>
      <c r="H8" s="27" t="s">
        <v>131</v>
      </c>
      <c r="I8" s="27" t="s">
        <v>138</v>
      </c>
    </row>
    <row r="9" spans="2:9" ht="13.5" customHeight="1" x14ac:dyDescent="0.25">
      <c r="B9" s="15" t="s">
        <v>139</v>
      </c>
      <c r="C9" s="15" t="s">
        <v>1</v>
      </c>
      <c r="D9" s="18" t="s">
        <v>26</v>
      </c>
      <c r="E9" s="18" t="s">
        <v>63</v>
      </c>
      <c r="F9" s="15">
        <v>15</v>
      </c>
      <c r="G9" s="7">
        <v>273</v>
      </c>
      <c r="H9" s="15" t="s">
        <v>131</v>
      </c>
      <c r="I9" s="15" t="s">
        <v>140</v>
      </c>
    </row>
    <row r="10" spans="2:9" ht="13.5" customHeight="1" x14ac:dyDescent="0.25">
      <c r="B10" s="27" t="s">
        <v>141</v>
      </c>
      <c r="C10" s="27" t="s">
        <v>1</v>
      </c>
      <c r="D10" s="28" t="s">
        <v>28</v>
      </c>
      <c r="E10" s="28" t="s">
        <v>64</v>
      </c>
      <c r="F10" s="27">
        <v>20</v>
      </c>
      <c r="G10" s="29">
        <v>398</v>
      </c>
      <c r="H10" s="27" t="s">
        <v>131</v>
      </c>
      <c r="I10" s="27" t="s">
        <v>142</v>
      </c>
    </row>
    <row r="11" spans="2:9" ht="13.5" customHeight="1" x14ac:dyDescent="0.25">
      <c r="B11" s="15" t="s">
        <v>143</v>
      </c>
      <c r="C11" s="15" t="s">
        <v>1</v>
      </c>
      <c r="D11" s="18" t="s">
        <v>25</v>
      </c>
      <c r="E11" s="18" t="s">
        <v>65</v>
      </c>
      <c r="F11" s="15">
        <v>10</v>
      </c>
      <c r="G11" s="7">
        <v>420</v>
      </c>
      <c r="H11" s="15" t="s">
        <v>131</v>
      </c>
      <c r="I11" s="15" t="s">
        <v>144</v>
      </c>
    </row>
    <row r="12" spans="2:9" ht="13.5" customHeight="1" x14ac:dyDescent="0.25">
      <c r="B12" s="27" t="s">
        <v>145</v>
      </c>
      <c r="C12" s="27" t="s">
        <v>1</v>
      </c>
      <c r="D12" s="28" t="s">
        <v>29</v>
      </c>
      <c r="E12" s="28" t="s">
        <v>66</v>
      </c>
      <c r="F12" s="27">
        <v>15</v>
      </c>
      <c r="G12" s="29">
        <v>351</v>
      </c>
      <c r="H12" s="27" t="s">
        <v>131</v>
      </c>
      <c r="I12" s="27" t="s">
        <v>146</v>
      </c>
    </row>
    <row r="13" spans="2:9" ht="13.5" customHeight="1" x14ac:dyDescent="0.25">
      <c r="B13" s="15" t="s">
        <v>147</v>
      </c>
      <c r="C13" s="15" t="s">
        <v>1</v>
      </c>
      <c r="D13" s="18" t="s">
        <v>27</v>
      </c>
      <c r="E13" s="18" t="s">
        <v>67</v>
      </c>
      <c r="F13" s="15">
        <v>12</v>
      </c>
      <c r="G13" s="7">
        <v>325.2</v>
      </c>
      <c r="H13" s="15" t="s">
        <v>131</v>
      </c>
      <c r="I13" s="15" t="s">
        <v>148</v>
      </c>
    </row>
    <row r="14" spans="2:9" ht="13.5" customHeight="1" x14ac:dyDescent="0.25">
      <c r="B14" s="27" t="s">
        <v>149</v>
      </c>
      <c r="C14" s="27" t="s">
        <v>1</v>
      </c>
      <c r="D14" s="28" t="s">
        <v>26</v>
      </c>
      <c r="E14" s="28" t="s">
        <v>68</v>
      </c>
      <c r="F14" s="27">
        <v>8</v>
      </c>
      <c r="G14" s="29">
        <v>239.2</v>
      </c>
      <c r="H14" s="27" t="s">
        <v>131</v>
      </c>
      <c r="I14" s="27" t="s">
        <v>150</v>
      </c>
    </row>
    <row r="15" spans="2:9" ht="13.5" customHeight="1" x14ac:dyDescent="0.25">
      <c r="B15" s="15" t="s">
        <v>151</v>
      </c>
      <c r="C15" s="15" t="s">
        <v>31</v>
      </c>
      <c r="D15" s="18" t="s">
        <v>25</v>
      </c>
      <c r="E15" s="18" t="s">
        <v>58</v>
      </c>
      <c r="F15" s="15">
        <v>20</v>
      </c>
      <c r="G15" s="7">
        <v>378</v>
      </c>
      <c r="H15" s="15" t="s">
        <v>131</v>
      </c>
      <c r="I15" s="15" t="s">
        <v>152</v>
      </c>
    </row>
    <row r="16" spans="2:9" ht="13.5" customHeight="1" x14ac:dyDescent="0.25">
      <c r="B16" s="27" t="s">
        <v>151</v>
      </c>
      <c r="C16" s="27" t="s">
        <v>31</v>
      </c>
      <c r="D16" s="28" t="s">
        <v>26</v>
      </c>
      <c r="E16" s="28" t="s">
        <v>59</v>
      </c>
      <c r="F16" s="27">
        <v>10</v>
      </c>
      <c r="G16" s="29">
        <v>194</v>
      </c>
      <c r="H16" s="27" t="s">
        <v>131</v>
      </c>
      <c r="I16" s="27" t="s">
        <v>153</v>
      </c>
    </row>
    <row r="17" spans="2:9" ht="13.5" customHeight="1" x14ac:dyDescent="0.25">
      <c r="B17" s="15" t="s">
        <v>154</v>
      </c>
      <c r="C17" s="15" t="s">
        <v>31</v>
      </c>
      <c r="D17" s="18" t="s">
        <v>27</v>
      </c>
      <c r="E17" s="18" t="s">
        <v>60</v>
      </c>
      <c r="F17" s="15">
        <v>5</v>
      </c>
      <c r="G17" s="7">
        <v>62.5</v>
      </c>
      <c r="H17" s="15" t="s">
        <v>155</v>
      </c>
      <c r="I17" s="15"/>
    </row>
    <row r="18" spans="2:9" ht="13.5" customHeight="1" x14ac:dyDescent="0.25">
      <c r="B18" s="27" t="s">
        <v>153</v>
      </c>
      <c r="C18" s="27" t="s">
        <v>31</v>
      </c>
      <c r="D18" s="28" t="s">
        <v>28</v>
      </c>
      <c r="E18" s="28" t="s">
        <v>61</v>
      </c>
      <c r="F18" s="27">
        <v>15</v>
      </c>
      <c r="G18" s="29">
        <v>525</v>
      </c>
      <c r="H18" s="27" t="s">
        <v>131</v>
      </c>
      <c r="I18" s="27" t="s">
        <v>156</v>
      </c>
    </row>
    <row r="19" spans="2:9" ht="13.5" customHeight="1" x14ac:dyDescent="0.25">
      <c r="B19" s="15" t="s">
        <v>157</v>
      </c>
      <c r="C19" s="15" t="s">
        <v>31</v>
      </c>
      <c r="D19" s="18" t="s">
        <v>25</v>
      </c>
      <c r="E19" s="18" t="s">
        <v>69</v>
      </c>
      <c r="F19" s="15">
        <v>12</v>
      </c>
      <c r="G19" s="7">
        <v>480</v>
      </c>
      <c r="H19" s="15" t="s">
        <v>131</v>
      </c>
      <c r="I19" s="15" t="s">
        <v>158</v>
      </c>
    </row>
    <row r="20" spans="2:9" ht="13.5" customHeight="1" x14ac:dyDescent="0.25">
      <c r="B20" s="27" t="s">
        <v>156</v>
      </c>
      <c r="C20" s="27" t="s">
        <v>31</v>
      </c>
      <c r="D20" s="28" t="s">
        <v>29</v>
      </c>
      <c r="E20" s="28" t="s">
        <v>68</v>
      </c>
      <c r="F20" s="27">
        <v>8</v>
      </c>
      <c r="G20" s="29">
        <v>239.2</v>
      </c>
      <c r="H20" s="27" t="s">
        <v>131</v>
      </c>
      <c r="I20" s="27" t="s">
        <v>159</v>
      </c>
    </row>
    <row r="21" spans="2:9" ht="13.5" customHeight="1" x14ac:dyDescent="0.25">
      <c r="B21" s="15" t="s">
        <v>152</v>
      </c>
      <c r="C21" s="15" t="s">
        <v>31</v>
      </c>
      <c r="D21" s="18" t="s">
        <v>26</v>
      </c>
      <c r="E21" s="18" t="s">
        <v>62</v>
      </c>
      <c r="F21" s="15">
        <v>20</v>
      </c>
      <c r="G21" s="7">
        <v>400</v>
      </c>
      <c r="H21" s="15" t="s">
        <v>131</v>
      </c>
      <c r="I21" s="15" t="s">
        <v>160</v>
      </c>
    </row>
    <row r="22" spans="2:9" ht="13.5" customHeight="1" x14ac:dyDescent="0.25">
      <c r="B22" s="27" t="s">
        <v>159</v>
      </c>
      <c r="C22" s="27" t="s">
        <v>31</v>
      </c>
      <c r="D22" s="28" t="s">
        <v>28</v>
      </c>
      <c r="E22" s="28" t="s">
        <v>70</v>
      </c>
      <c r="F22" s="27">
        <v>25</v>
      </c>
      <c r="G22" s="29">
        <v>375</v>
      </c>
      <c r="H22" s="27" t="s">
        <v>131</v>
      </c>
      <c r="I22" s="27" t="s">
        <v>161</v>
      </c>
    </row>
    <row r="23" spans="2:9" ht="13.5" customHeight="1" x14ac:dyDescent="0.25">
      <c r="B23" s="15" t="s">
        <v>159</v>
      </c>
      <c r="C23" s="15" t="s">
        <v>31</v>
      </c>
      <c r="D23" s="18" t="s">
        <v>27</v>
      </c>
      <c r="E23" s="18" t="s">
        <v>63</v>
      </c>
      <c r="F23" s="15">
        <v>10</v>
      </c>
      <c r="G23" s="7">
        <v>182</v>
      </c>
      <c r="H23" s="15" t="s">
        <v>131</v>
      </c>
      <c r="I23" s="15" t="s">
        <v>162</v>
      </c>
    </row>
    <row r="24" spans="2:9" ht="13.5" customHeight="1" x14ac:dyDescent="0.25">
      <c r="B24" s="27" t="s">
        <v>160</v>
      </c>
      <c r="C24" s="27" t="s">
        <v>31</v>
      </c>
      <c r="D24" s="28" t="s">
        <v>28</v>
      </c>
      <c r="E24" s="28" t="s">
        <v>64</v>
      </c>
      <c r="F24" s="27">
        <v>15</v>
      </c>
      <c r="G24" s="29">
        <v>298.5</v>
      </c>
      <c r="H24" s="27" t="s">
        <v>163</v>
      </c>
      <c r="I24" s="27"/>
    </row>
    <row r="25" spans="2:9" ht="13.5" customHeight="1" x14ac:dyDescent="0.25">
      <c r="B25" s="15" t="s">
        <v>158</v>
      </c>
      <c r="C25" s="15" t="s">
        <v>31</v>
      </c>
      <c r="D25" s="18" t="s">
        <v>25</v>
      </c>
      <c r="E25" s="18" t="s">
        <v>71</v>
      </c>
      <c r="F25" s="15">
        <v>10</v>
      </c>
      <c r="G25" s="7">
        <v>235</v>
      </c>
      <c r="H25" s="15" t="s">
        <v>155</v>
      </c>
      <c r="I25" s="15" t="s">
        <v>164</v>
      </c>
    </row>
    <row r="26" spans="2:9" ht="13.5" customHeight="1" x14ac:dyDescent="0.25">
      <c r="B26" s="27" t="s">
        <v>158</v>
      </c>
      <c r="C26" s="27" t="s">
        <v>31</v>
      </c>
      <c r="D26" s="28" t="s">
        <v>27</v>
      </c>
      <c r="E26" s="28" t="s">
        <v>72</v>
      </c>
      <c r="F26" s="27">
        <v>18</v>
      </c>
      <c r="G26" s="29">
        <v>450</v>
      </c>
      <c r="H26" s="27" t="s">
        <v>155</v>
      </c>
      <c r="I26" s="27" t="s">
        <v>162</v>
      </c>
    </row>
    <row r="27" spans="2:9" ht="13.5" customHeight="1" x14ac:dyDescent="0.25">
      <c r="B27" s="15" t="s">
        <v>165</v>
      </c>
      <c r="C27" s="15" t="s">
        <v>31</v>
      </c>
      <c r="D27" s="18" t="s">
        <v>28</v>
      </c>
      <c r="E27" s="18" t="s">
        <v>73</v>
      </c>
      <c r="F27" s="15">
        <v>20</v>
      </c>
      <c r="G27" s="7">
        <v>438</v>
      </c>
      <c r="H27" s="15" t="s">
        <v>155</v>
      </c>
      <c r="I27" s="15"/>
    </row>
    <row r="28" spans="2:9" ht="13.5" customHeight="1" x14ac:dyDescent="0.25">
      <c r="B28" s="27" t="s">
        <v>162</v>
      </c>
      <c r="C28" s="27" t="s">
        <v>31</v>
      </c>
      <c r="D28" s="28" t="s">
        <v>29</v>
      </c>
      <c r="E28" s="28" t="s">
        <v>59</v>
      </c>
      <c r="F28" s="27">
        <v>12</v>
      </c>
      <c r="G28" s="29">
        <v>232.8</v>
      </c>
      <c r="H28" s="27" t="s">
        <v>131</v>
      </c>
      <c r="I28" s="27" t="s">
        <v>166</v>
      </c>
    </row>
    <row r="29" spans="2:9" ht="13.5" customHeight="1" x14ac:dyDescent="0.25">
      <c r="B29" s="15" t="s">
        <v>164</v>
      </c>
      <c r="C29" s="15" t="s">
        <v>31</v>
      </c>
      <c r="D29" s="18" t="s">
        <v>26</v>
      </c>
      <c r="E29" s="18" t="s">
        <v>74</v>
      </c>
      <c r="F29" s="15">
        <v>22</v>
      </c>
      <c r="G29" s="7">
        <v>360.8</v>
      </c>
      <c r="H29" s="15" t="s">
        <v>131</v>
      </c>
      <c r="I29" s="15" t="s">
        <v>167</v>
      </c>
    </row>
    <row r="30" spans="2:9" ht="13.5" customHeight="1" x14ac:dyDescent="0.25">
      <c r="B30" s="27" t="s">
        <v>164</v>
      </c>
      <c r="C30" s="27" t="s">
        <v>31</v>
      </c>
      <c r="D30" s="28" t="s">
        <v>27</v>
      </c>
      <c r="E30" s="28" t="s">
        <v>67</v>
      </c>
      <c r="F30" s="27">
        <v>10</v>
      </c>
      <c r="G30" s="29">
        <v>271</v>
      </c>
      <c r="H30" s="27" t="s">
        <v>131</v>
      </c>
      <c r="I30" s="27" t="s">
        <v>168</v>
      </c>
    </row>
    <row r="31" spans="2:9" ht="13.5" customHeight="1" x14ac:dyDescent="0.25">
      <c r="B31" s="15" t="s">
        <v>161</v>
      </c>
      <c r="C31" s="15" t="s">
        <v>31</v>
      </c>
      <c r="D31" s="18" t="s">
        <v>28</v>
      </c>
      <c r="E31" s="18" t="s">
        <v>75</v>
      </c>
      <c r="F31" s="15">
        <v>15</v>
      </c>
      <c r="G31" s="7">
        <v>523.5</v>
      </c>
      <c r="H31" s="15" t="s">
        <v>131</v>
      </c>
      <c r="I31" s="15" t="s">
        <v>169</v>
      </c>
    </row>
    <row r="32" spans="2:9" ht="13.5" customHeight="1" x14ac:dyDescent="0.25">
      <c r="B32" s="27" t="s">
        <v>168</v>
      </c>
      <c r="C32" s="27" t="s">
        <v>31</v>
      </c>
      <c r="D32" s="28" t="s">
        <v>28</v>
      </c>
      <c r="E32" s="28" t="s">
        <v>76</v>
      </c>
      <c r="F32" s="27">
        <v>18</v>
      </c>
      <c r="G32" s="29">
        <v>230.4</v>
      </c>
      <c r="H32" s="27" t="s">
        <v>155</v>
      </c>
      <c r="I32" s="27"/>
    </row>
    <row r="33" spans="2:9" ht="13.5" customHeight="1" x14ac:dyDescent="0.25">
      <c r="B33" s="15" t="s">
        <v>166</v>
      </c>
      <c r="C33" s="15" t="s">
        <v>31</v>
      </c>
      <c r="D33" s="18" t="s">
        <v>29</v>
      </c>
      <c r="E33" s="18" t="s">
        <v>77</v>
      </c>
      <c r="F33" s="15">
        <v>5</v>
      </c>
      <c r="G33" s="7">
        <v>192.5</v>
      </c>
      <c r="H33" s="15" t="s">
        <v>131</v>
      </c>
      <c r="I33" s="15" t="s">
        <v>170</v>
      </c>
    </row>
    <row r="34" spans="2:9" ht="13.5" customHeight="1" x14ac:dyDescent="0.25">
      <c r="B34" s="27" t="s">
        <v>169</v>
      </c>
      <c r="C34" s="27" t="s">
        <v>31</v>
      </c>
      <c r="D34" s="28" t="s">
        <v>26</v>
      </c>
      <c r="E34" s="28" t="s">
        <v>65</v>
      </c>
      <c r="F34" s="27">
        <v>30</v>
      </c>
      <c r="G34" s="29">
        <v>1260</v>
      </c>
      <c r="H34" s="27" t="s">
        <v>131</v>
      </c>
      <c r="I34" s="27" t="s">
        <v>171</v>
      </c>
    </row>
    <row r="35" spans="2:9" ht="13.5" customHeight="1" x14ac:dyDescent="0.25">
      <c r="B35" s="15" t="s">
        <v>167</v>
      </c>
      <c r="C35" s="15" t="s">
        <v>31</v>
      </c>
      <c r="D35" s="18" t="s">
        <v>28</v>
      </c>
      <c r="E35" s="18" t="s">
        <v>78</v>
      </c>
      <c r="F35" s="15">
        <v>20</v>
      </c>
      <c r="G35" s="7">
        <v>1000</v>
      </c>
      <c r="H35" s="15" t="s">
        <v>163</v>
      </c>
      <c r="I35" s="15"/>
    </row>
    <row r="36" spans="2:9" ht="13.5" customHeight="1" x14ac:dyDescent="0.25">
      <c r="B36" s="27" t="s">
        <v>172</v>
      </c>
      <c r="C36" s="27" t="s">
        <v>173</v>
      </c>
      <c r="D36" s="28" t="s">
        <v>28</v>
      </c>
      <c r="E36" s="28" t="s">
        <v>79</v>
      </c>
      <c r="F36" s="27">
        <v>15</v>
      </c>
      <c r="G36" s="29">
        <v>232.5</v>
      </c>
      <c r="H36" s="27" t="s">
        <v>131</v>
      </c>
      <c r="I36" s="27" t="s">
        <v>174</v>
      </c>
    </row>
    <row r="37" spans="2:9" ht="13.5" customHeight="1" x14ac:dyDescent="0.25">
      <c r="B37" s="15" t="s">
        <v>175</v>
      </c>
      <c r="C37" s="15" t="s">
        <v>173</v>
      </c>
      <c r="D37" s="18" t="s">
        <v>26</v>
      </c>
      <c r="E37" s="18" t="s">
        <v>66</v>
      </c>
      <c r="F37" s="15">
        <v>20</v>
      </c>
      <c r="G37" s="7">
        <v>468</v>
      </c>
      <c r="H37" s="15" t="s">
        <v>131</v>
      </c>
      <c r="I37" s="15" t="s">
        <v>176</v>
      </c>
    </row>
    <row r="38" spans="2:9" ht="13.5" customHeight="1" x14ac:dyDescent="0.25">
      <c r="B38" s="27" t="s">
        <v>177</v>
      </c>
      <c r="C38" s="27" t="s">
        <v>173</v>
      </c>
      <c r="D38" s="28" t="s">
        <v>29</v>
      </c>
      <c r="E38" s="28" t="s">
        <v>76</v>
      </c>
      <c r="F38" s="27">
        <v>10</v>
      </c>
      <c r="G38" s="29">
        <v>128</v>
      </c>
      <c r="H38" s="27" t="s">
        <v>131</v>
      </c>
      <c r="I38" s="27" t="s">
        <v>178</v>
      </c>
    </row>
    <row r="39" spans="2:9" ht="13.5" customHeight="1" x14ac:dyDescent="0.25">
      <c r="B39" s="15" t="s">
        <v>179</v>
      </c>
      <c r="C39" s="15" t="s">
        <v>173</v>
      </c>
      <c r="D39" s="18" t="s">
        <v>27</v>
      </c>
      <c r="E39" s="18" t="s">
        <v>61</v>
      </c>
      <c r="F39" s="15">
        <v>18</v>
      </c>
      <c r="G39" s="7">
        <v>630</v>
      </c>
      <c r="H39" s="15" t="s">
        <v>131</v>
      </c>
      <c r="I39" s="15" t="s">
        <v>180</v>
      </c>
    </row>
    <row r="40" spans="2:9" ht="13.5" customHeight="1" x14ac:dyDescent="0.25">
      <c r="B40" s="27" t="s">
        <v>176</v>
      </c>
      <c r="C40" s="27" t="s">
        <v>173</v>
      </c>
      <c r="D40" s="28" t="s">
        <v>25</v>
      </c>
      <c r="E40" s="28" t="s">
        <v>68</v>
      </c>
      <c r="F40" s="27">
        <v>12</v>
      </c>
      <c r="G40" s="29">
        <v>358.8</v>
      </c>
      <c r="H40" s="27" t="s">
        <v>131</v>
      </c>
      <c r="I40" s="27" t="s">
        <v>181</v>
      </c>
    </row>
    <row r="41" spans="2:9" ht="13.5" customHeight="1" x14ac:dyDescent="0.25">
      <c r="B41" s="15" t="s">
        <v>174</v>
      </c>
      <c r="C41" s="15" t="s">
        <v>173</v>
      </c>
      <c r="D41" s="18" t="s">
        <v>28</v>
      </c>
      <c r="E41" s="18" t="s">
        <v>67</v>
      </c>
      <c r="F41" s="15">
        <v>15</v>
      </c>
      <c r="G41" s="7">
        <v>406.5</v>
      </c>
      <c r="H41" s="15" t="s">
        <v>155</v>
      </c>
      <c r="I41" s="15"/>
    </row>
    <row r="42" spans="2:9" ht="13.5" customHeight="1" x14ac:dyDescent="0.25">
      <c r="B42" s="27" t="s">
        <v>178</v>
      </c>
      <c r="C42" s="27" t="s">
        <v>173</v>
      </c>
      <c r="D42" s="28" t="s">
        <v>26</v>
      </c>
      <c r="E42" s="28" t="s">
        <v>80</v>
      </c>
      <c r="F42" s="27">
        <v>25</v>
      </c>
      <c r="G42" s="29">
        <v>410</v>
      </c>
      <c r="H42" s="27" t="s">
        <v>131</v>
      </c>
      <c r="I42" s="27" t="s">
        <v>182</v>
      </c>
    </row>
    <row r="43" spans="2:9" ht="13.5" customHeight="1" x14ac:dyDescent="0.25">
      <c r="B43" s="15" t="s">
        <v>183</v>
      </c>
      <c r="C43" s="15" t="s">
        <v>173</v>
      </c>
      <c r="D43" s="18" t="s">
        <v>29</v>
      </c>
      <c r="E43" s="18" t="s">
        <v>72</v>
      </c>
      <c r="F43" s="15">
        <v>10</v>
      </c>
      <c r="G43" s="7">
        <v>250</v>
      </c>
      <c r="H43" s="15" t="s">
        <v>163</v>
      </c>
      <c r="I43" s="15"/>
    </row>
    <row r="44" spans="2:9" ht="13.5" customHeight="1" x14ac:dyDescent="0.25">
      <c r="B44" s="27" t="s">
        <v>181</v>
      </c>
      <c r="C44" s="27" t="s">
        <v>173</v>
      </c>
      <c r="D44" s="28" t="s">
        <v>27</v>
      </c>
      <c r="E44" s="28" t="s">
        <v>65</v>
      </c>
      <c r="F44" s="27">
        <v>20</v>
      </c>
      <c r="G44" s="29">
        <v>840</v>
      </c>
      <c r="H44" s="27" t="s">
        <v>131</v>
      </c>
      <c r="I44" s="27" t="s">
        <v>184</v>
      </c>
    </row>
    <row r="45" spans="2:9" ht="13.5" customHeight="1" x14ac:dyDescent="0.25">
      <c r="B45" s="15" t="s">
        <v>182</v>
      </c>
      <c r="C45" s="15" t="s">
        <v>173</v>
      </c>
      <c r="D45" s="18" t="s">
        <v>25</v>
      </c>
      <c r="E45" s="18" t="s">
        <v>81</v>
      </c>
      <c r="F45" s="15">
        <v>30</v>
      </c>
      <c r="G45" s="7">
        <v>597</v>
      </c>
      <c r="H45" s="15" t="s">
        <v>131</v>
      </c>
      <c r="I45" s="15" t="s">
        <v>185</v>
      </c>
    </row>
    <row r="46" spans="2:9" ht="13.5" customHeight="1" x14ac:dyDescent="0.25">
      <c r="B46" s="27" t="s">
        <v>186</v>
      </c>
      <c r="C46" s="27" t="s">
        <v>173</v>
      </c>
      <c r="D46" s="28" t="s">
        <v>28</v>
      </c>
      <c r="E46" s="28" t="s">
        <v>82</v>
      </c>
      <c r="F46" s="27">
        <v>12</v>
      </c>
      <c r="G46" s="29">
        <v>180</v>
      </c>
      <c r="H46" s="27" t="s">
        <v>131</v>
      </c>
      <c r="I46" s="27" t="s">
        <v>187</v>
      </c>
    </row>
    <row r="47" spans="2:9" ht="13.5" customHeight="1" x14ac:dyDescent="0.25">
      <c r="B47" s="15" t="s">
        <v>188</v>
      </c>
      <c r="C47" s="15" t="s">
        <v>173</v>
      </c>
      <c r="D47" s="18" t="s">
        <v>26</v>
      </c>
      <c r="E47" s="18" t="s">
        <v>71</v>
      </c>
      <c r="F47" s="15">
        <v>20</v>
      </c>
      <c r="G47" s="7">
        <v>470</v>
      </c>
      <c r="H47" s="15" t="s">
        <v>155</v>
      </c>
      <c r="I47" s="15"/>
    </row>
    <row r="48" spans="2:9" ht="13.5" customHeight="1" x14ac:dyDescent="0.25">
      <c r="B48" s="27" t="s">
        <v>184</v>
      </c>
      <c r="C48" s="27" t="s">
        <v>173</v>
      </c>
      <c r="D48" s="28" t="s">
        <v>29</v>
      </c>
      <c r="E48" s="28" t="s">
        <v>69</v>
      </c>
      <c r="F48" s="27">
        <v>8</v>
      </c>
      <c r="G48" s="29">
        <v>320</v>
      </c>
      <c r="H48" s="27" t="s">
        <v>131</v>
      </c>
      <c r="I48" s="27" t="s">
        <v>189</v>
      </c>
    </row>
    <row r="49" spans="2:9" ht="13.5" customHeight="1" x14ac:dyDescent="0.25">
      <c r="B49" s="15" t="s">
        <v>187</v>
      </c>
      <c r="C49" s="15" t="s">
        <v>173</v>
      </c>
      <c r="D49" s="18" t="s">
        <v>27</v>
      </c>
      <c r="E49" s="18" t="s">
        <v>73</v>
      </c>
      <c r="F49" s="15">
        <v>25</v>
      </c>
      <c r="G49" s="7">
        <v>547.5</v>
      </c>
      <c r="H49" s="15" t="s">
        <v>131</v>
      </c>
      <c r="I49" s="15" t="s">
        <v>190</v>
      </c>
    </row>
    <row r="50" spans="2:9" ht="13.5" customHeight="1" x14ac:dyDescent="0.25">
      <c r="B50" s="27" t="s">
        <v>191</v>
      </c>
      <c r="C50" s="27" t="s">
        <v>173</v>
      </c>
      <c r="D50" s="28" t="s">
        <v>28</v>
      </c>
      <c r="E50" s="28" t="s">
        <v>75</v>
      </c>
      <c r="F50" s="27">
        <v>10</v>
      </c>
      <c r="G50" s="29">
        <v>349</v>
      </c>
      <c r="H50" s="27" t="s">
        <v>131</v>
      </c>
      <c r="I50" s="27" t="s">
        <v>192</v>
      </c>
    </row>
    <row r="51" spans="2:9" ht="13.5" customHeight="1" x14ac:dyDescent="0.25">
      <c r="B51" s="30"/>
      <c r="C51" s="30"/>
      <c r="D51" s="30"/>
      <c r="E51" s="30"/>
      <c r="F51" s="30"/>
      <c r="G51" s="30"/>
      <c r="H51" s="30"/>
      <c r="I51" s="30"/>
    </row>
    <row r="52" spans="2:9" ht="13.5" customHeight="1" x14ac:dyDescent="0.25">
      <c r="B52" s="31"/>
      <c r="C52" s="31"/>
      <c r="D52" s="31"/>
      <c r="E52" s="31"/>
      <c r="F52" s="31"/>
      <c r="G52" s="31"/>
      <c r="H52" s="31"/>
      <c r="I52" s="31"/>
    </row>
    <row r="53" spans="2:9" ht="13.5" customHeight="1" x14ac:dyDescent="0.25">
      <c r="B53" s="30"/>
      <c r="C53" s="30"/>
      <c r="D53" s="30"/>
      <c r="E53" s="30"/>
      <c r="F53" s="30"/>
      <c r="G53" s="30"/>
      <c r="H53" s="30"/>
      <c r="I53" s="30"/>
    </row>
    <row r="54" spans="2:9" ht="13.5" customHeight="1" x14ac:dyDescent="0.25">
      <c r="B54" s="31"/>
      <c r="C54" s="31"/>
      <c r="D54" s="31"/>
      <c r="E54" s="31"/>
      <c r="F54" s="31"/>
      <c r="G54" s="31"/>
      <c r="H54" s="31"/>
      <c r="I54" s="31"/>
    </row>
    <row r="55" spans="2:9" ht="13.5" customHeight="1" x14ac:dyDescent="0.25">
      <c r="B55" s="30"/>
      <c r="C55" s="30"/>
      <c r="D55" s="30"/>
      <c r="E55" s="30"/>
      <c r="F55" s="30"/>
      <c r="G55" s="30"/>
      <c r="H55" s="30"/>
      <c r="I55" s="30"/>
    </row>
    <row r="56" spans="2:9" ht="13.5" customHeight="1" x14ac:dyDescent="0.25">
      <c r="B56" s="31"/>
      <c r="C56" s="31"/>
      <c r="D56" s="31"/>
      <c r="E56" s="31"/>
      <c r="F56" s="31"/>
      <c r="G56" s="31"/>
      <c r="H56" s="31"/>
      <c r="I56" s="31"/>
    </row>
    <row r="57" spans="2:9" ht="13.5" customHeight="1" x14ac:dyDescent="0.25">
      <c r="B57" s="30"/>
      <c r="C57" s="30"/>
      <c r="D57" s="30"/>
      <c r="E57" s="30"/>
      <c r="F57" s="30"/>
      <c r="G57" s="30"/>
      <c r="H57" s="30"/>
      <c r="I57" s="30"/>
    </row>
    <row r="58" spans="2:9" ht="13.5" customHeight="1" x14ac:dyDescent="0.25">
      <c r="B58" s="31"/>
      <c r="C58" s="31"/>
      <c r="D58" s="31"/>
      <c r="E58" s="31"/>
      <c r="F58" s="31"/>
      <c r="G58" s="31"/>
      <c r="H58" s="31"/>
      <c r="I58" s="31"/>
    </row>
    <row r="59" spans="2:9" ht="13.5" customHeight="1" x14ac:dyDescent="0.25">
      <c r="B59" s="30"/>
      <c r="C59" s="30"/>
      <c r="D59" s="30"/>
      <c r="E59" s="30"/>
      <c r="F59" s="30"/>
      <c r="G59" s="30"/>
      <c r="H59" s="30"/>
      <c r="I59" s="30"/>
    </row>
    <row r="60" spans="2:9" ht="13.5" customHeight="1" x14ac:dyDescent="0.25">
      <c r="B60" s="31"/>
      <c r="C60" s="31"/>
      <c r="D60" s="31"/>
      <c r="E60" s="31"/>
      <c r="F60" s="31"/>
      <c r="G60" s="31"/>
      <c r="H60" s="31"/>
      <c r="I60" s="31"/>
    </row>
    <row r="61" spans="2:9" ht="13.5" customHeight="1" x14ac:dyDescent="0.25">
      <c r="B61" s="30"/>
      <c r="C61" s="30"/>
      <c r="D61" s="30"/>
      <c r="E61" s="30"/>
      <c r="F61" s="30"/>
      <c r="G61" s="30"/>
      <c r="H61" s="30"/>
      <c r="I61" s="30"/>
    </row>
    <row r="62" spans="2:9" ht="13.5" customHeight="1" x14ac:dyDescent="0.25">
      <c r="B62" s="31"/>
      <c r="C62" s="31"/>
      <c r="D62" s="31"/>
      <c r="E62" s="31"/>
      <c r="F62" s="31"/>
      <c r="G62" s="31"/>
      <c r="H62" s="31"/>
      <c r="I62" s="31"/>
    </row>
    <row r="63" spans="2:9" ht="13.5" customHeight="1" x14ac:dyDescent="0.25">
      <c r="B63" s="30"/>
      <c r="C63" s="30"/>
      <c r="D63" s="30"/>
      <c r="E63" s="30"/>
      <c r="F63" s="30"/>
      <c r="G63" s="30"/>
      <c r="H63" s="30"/>
      <c r="I63" s="30"/>
    </row>
    <row r="64" spans="2:9" ht="13.5" customHeight="1" x14ac:dyDescent="0.25">
      <c r="B64" s="31"/>
      <c r="C64" s="31"/>
      <c r="D64" s="31"/>
      <c r="E64" s="31"/>
      <c r="F64" s="31"/>
      <c r="G64" s="31"/>
      <c r="H64" s="31"/>
      <c r="I64" s="31"/>
    </row>
    <row r="65" spans="2:9" ht="13.5" customHeight="1" x14ac:dyDescent="0.25">
      <c r="B65" s="30"/>
      <c r="C65" s="30"/>
      <c r="D65" s="30"/>
      <c r="E65" s="30"/>
      <c r="F65" s="30"/>
      <c r="G65" s="30"/>
      <c r="H65" s="30"/>
      <c r="I65" s="30"/>
    </row>
    <row r="66" spans="2:9" ht="13.5" customHeight="1" x14ac:dyDescent="0.25">
      <c r="B66" s="31"/>
      <c r="C66" s="31"/>
      <c r="D66" s="31"/>
      <c r="E66" s="31"/>
      <c r="F66" s="31"/>
      <c r="G66" s="31"/>
      <c r="H66" s="31"/>
      <c r="I66" s="31"/>
    </row>
    <row r="67" spans="2:9" ht="13.5" customHeight="1" x14ac:dyDescent="0.25">
      <c r="B67" s="30"/>
      <c r="C67" s="30"/>
      <c r="D67" s="30"/>
      <c r="E67" s="30"/>
      <c r="F67" s="30"/>
      <c r="G67" s="30"/>
      <c r="H67" s="30"/>
      <c r="I67" s="30"/>
    </row>
    <row r="68" spans="2:9" ht="13.5" customHeight="1" x14ac:dyDescent="0.25">
      <c r="B68" s="31"/>
      <c r="C68" s="31"/>
      <c r="D68" s="31"/>
      <c r="E68" s="31"/>
      <c r="F68" s="31"/>
      <c r="G68" s="31"/>
      <c r="H68" s="31"/>
      <c r="I68" s="31"/>
    </row>
    <row r="69" spans="2:9" ht="13.5" customHeight="1" x14ac:dyDescent="0.25">
      <c r="B69" s="30"/>
      <c r="C69" s="30"/>
      <c r="D69" s="30"/>
      <c r="E69" s="30"/>
      <c r="F69" s="30"/>
      <c r="G69" s="30"/>
      <c r="H69" s="30"/>
      <c r="I69" s="30"/>
    </row>
    <row r="70" spans="2:9" ht="13.5" customHeight="1" x14ac:dyDescent="0.25">
      <c r="B70" s="31"/>
      <c r="C70" s="31"/>
      <c r="D70" s="31"/>
      <c r="E70" s="31"/>
      <c r="F70" s="31"/>
      <c r="G70" s="31"/>
      <c r="H70" s="31"/>
      <c r="I70" s="31"/>
    </row>
    <row r="71" spans="2:9" ht="13.5" customHeight="1" x14ac:dyDescent="0.25">
      <c r="B71" s="30"/>
      <c r="C71" s="30"/>
      <c r="D71" s="30"/>
      <c r="E71" s="30"/>
      <c r="F71" s="30"/>
      <c r="G71" s="30"/>
      <c r="H71" s="30"/>
      <c r="I71" s="30"/>
    </row>
    <row r="72" spans="2:9" ht="13.5" customHeight="1" x14ac:dyDescent="0.25">
      <c r="B72" s="31"/>
      <c r="C72" s="31"/>
      <c r="D72" s="31"/>
      <c r="E72" s="31"/>
      <c r="F72" s="31"/>
      <c r="G72" s="31"/>
      <c r="H72" s="31"/>
      <c r="I72" s="31"/>
    </row>
    <row r="73" spans="2:9" ht="13.5" customHeight="1" x14ac:dyDescent="0.25">
      <c r="B73" s="30"/>
      <c r="C73" s="30"/>
      <c r="D73" s="30"/>
      <c r="E73" s="30"/>
      <c r="F73" s="30"/>
      <c r="G73" s="30"/>
      <c r="H73" s="30"/>
      <c r="I73" s="30"/>
    </row>
    <row r="74" spans="2:9" ht="13.5" customHeight="1" x14ac:dyDescent="0.25">
      <c r="B74" s="31"/>
      <c r="C74" s="31"/>
      <c r="D74" s="31"/>
      <c r="E74" s="31"/>
      <c r="F74" s="31"/>
      <c r="G74" s="31"/>
      <c r="H74" s="31"/>
      <c r="I74" s="31"/>
    </row>
    <row r="75" spans="2:9" ht="13.5" customHeight="1" x14ac:dyDescent="0.25">
      <c r="B75" s="30"/>
      <c r="C75" s="30"/>
      <c r="D75" s="30"/>
      <c r="E75" s="30"/>
      <c r="F75" s="30"/>
      <c r="G75" s="30"/>
      <c r="H75" s="30"/>
      <c r="I75" s="30"/>
    </row>
    <row r="76" spans="2:9" ht="13.5" customHeight="1" x14ac:dyDescent="0.25">
      <c r="B76" s="31"/>
      <c r="C76" s="31"/>
      <c r="D76" s="31"/>
      <c r="E76" s="31"/>
      <c r="F76" s="31"/>
      <c r="G76" s="31"/>
      <c r="H76" s="31"/>
      <c r="I76" s="31"/>
    </row>
    <row r="77" spans="2:9" ht="13.5" customHeight="1" x14ac:dyDescent="0.25">
      <c r="B77" s="30"/>
      <c r="C77" s="30"/>
      <c r="D77" s="30"/>
      <c r="E77" s="30"/>
      <c r="F77" s="30"/>
      <c r="G77" s="30"/>
      <c r="H77" s="30"/>
      <c r="I77" s="30"/>
    </row>
    <row r="78" spans="2:9" ht="13.5" customHeight="1" x14ac:dyDescent="0.25">
      <c r="B78" s="31"/>
      <c r="C78" s="31"/>
      <c r="D78" s="31"/>
      <c r="E78" s="31"/>
      <c r="F78" s="31"/>
      <c r="G78" s="31"/>
      <c r="H78" s="31"/>
      <c r="I78" s="31"/>
    </row>
    <row r="79" spans="2:9" ht="13.5" customHeight="1" x14ac:dyDescent="0.25">
      <c r="B79" s="30"/>
      <c r="C79" s="30"/>
      <c r="D79" s="30"/>
      <c r="E79" s="30"/>
      <c r="F79" s="30"/>
      <c r="G79" s="30"/>
      <c r="H79" s="30"/>
      <c r="I79" s="30"/>
    </row>
    <row r="80" spans="2:9" ht="13.5" customHeight="1" x14ac:dyDescent="0.25">
      <c r="B80" s="31"/>
      <c r="C80" s="31"/>
      <c r="D80" s="31"/>
      <c r="E80" s="31"/>
      <c r="F80" s="31"/>
      <c r="G80" s="31"/>
      <c r="H80" s="31"/>
      <c r="I80" s="31"/>
    </row>
    <row r="81" spans="2:9" ht="13.5" customHeight="1" x14ac:dyDescent="0.25">
      <c r="B81" s="30"/>
      <c r="C81" s="30"/>
      <c r="D81" s="30"/>
      <c r="E81" s="30"/>
      <c r="F81" s="30"/>
      <c r="G81" s="30"/>
      <c r="H81" s="30"/>
      <c r="I81" s="30"/>
    </row>
    <row r="82" spans="2:9" ht="13.5" customHeight="1" x14ac:dyDescent="0.25">
      <c r="B82" s="31"/>
      <c r="C82" s="31"/>
      <c r="D82" s="31"/>
      <c r="E82" s="31"/>
      <c r="F82" s="31"/>
      <c r="G82" s="31"/>
      <c r="H82" s="31"/>
      <c r="I82" s="31"/>
    </row>
    <row r="83" spans="2:9" ht="13.5" customHeight="1" x14ac:dyDescent="0.25">
      <c r="B83" s="30"/>
      <c r="C83" s="30"/>
      <c r="D83" s="30"/>
      <c r="E83" s="30"/>
      <c r="F83" s="30"/>
      <c r="G83" s="30"/>
      <c r="H83" s="30"/>
      <c r="I83" s="30"/>
    </row>
    <row r="84" spans="2:9" ht="13.5" customHeight="1" x14ac:dyDescent="0.25">
      <c r="B84" s="31"/>
      <c r="C84" s="31"/>
      <c r="D84" s="31"/>
      <c r="E84" s="31"/>
      <c r="F84" s="31"/>
      <c r="G84" s="31"/>
      <c r="H84" s="31"/>
      <c r="I84" s="31"/>
    </row>
    <row r="85" spans="2:9" ht="13.5" customHeight="1" x14ac:dyDescent="0.25">
      <c r="B85" s="30"/>
      <c r="C85" s="30"/>
      <c r="D85" s="30"/>
      <c r="E85" s="30"/>
      <c r="F85" s="30"/>
      <c r="G85" s="30"/>
      <c r="H85" s="30"/>
      <c r="I85" s="30"/>
    </row>
    <row r="86" spans="2:9" ht="13.5" customHeight="1" x14ac:dyDescent="0.25">
      <c r="B86" s="31"/>
      <c r="C86" s="31"/>
      <c r="D86" s="31"/>
      <c r="E86" s="31"/>
      <c r="F86" s="31"/>
      <c r="G86" s="31"/>
      <c r="H86" s="31"/>
      <c r="I86" s="31"/>
    </row>
    <row r="87" spans="2:9" ht="13.5" customHeight="1" x14ac:dyDescent="0.25">
      <c r="B87" s="30"/>
      <c r="C87" s="30"/>
      <c r="D87" s="30"/>
      <c r="E87" s="30"/>
      <c r="F87" s="30"/>
      <c r="G87" s="30"/>
      <c r="H87" s="30"/>
      <c r="I87" s="30"/>
    </row>
    <row r="88" spans="2:9" ht="13.5" customHeight="1" x14ac:dyDescent="0.25">
      <c r="B88" s="31"/>
      <c r="C88" s="31"/>
      <c r="D88" s="31"/>
      <c r="E88" s="31"/>
      <c r="F88" s="31"/>
      <c r="G88" s="31"/>
      <c r="H88" s="31"/>
      <c r="I88" s="31"/>
    </row>
    <row r="89" spans="2:9" ht="13.5" customHeight="1" x14ac:dyDescent="0.25">
      <c r="B89" s="30"/>
      <c r="C89" s="30"/>
      <c r="D89" s="30"/>
      <c r="E89" s="30"/>
      <c r="F89" s="30"/>
      <c r="G89" s="30"/>
      <c r="H89" s="30"/>
      <c r="I89" s="30"/>
    </row>
    <row r="90" spans="2:9" ht="13.5" customHeight="1" x14ac:dyDescent="0.25">
      <c r="B90" s="31"/>
      <c r="C90" s="31"/>
      <c r="D90" s="31"/>
      <c r="E90" s="31"/>
      <c r="F90" s="31"/>
      <c r="G90" s="31"/>
      <c r="H90" s="31"/>
      <c r="I90" s="31"/>
    </row>
    <row r="91" spans="2:9" ht="13.5" customHeight="1" x14ac:dyDescent="0.25">
      <c r="B91" s="30"/>
      <c r="C91" s="30"/>
      <c r="D91" s="30"/>
      <c r="E91" s="30"/>
      <c r="F91" s="30"/>
      <c r="G91" s="30"/>
      <c r="H91" s="30"/>
      <c r="I91" s="30"/>
    </row>
    <row r="92" spans="2:9" ht="13.5" customHeight="1" x14ac:dyDescent="0.25">
      <c r="B92" s="31"/>
      <c r="C92" s="31"/>
      <c r="D92" s="31"/>
      <c r="E92" s="31"/>
      <c r="F92" s="31"/>
      <c r="G92" s="31"/>
      <c r="H92" s="31"/>
      <c r="I92" s="31"/>
    </row>
    <row r="93" spans="2:9" ht="13.5" customHeight="1" x14ac:dyDescent="0.25">
      <c r="B93" s="30"/>
      <c r="C93" s="30"/>
      <c r="D93" s="30"/>
      <c r="E93" s="30"/>
      <c r="F93" s="30"/>
      <c r="G93" s="30"/>
      <c r="H93" s="30"/>
      <c r="I93" s="30"/>
    </row>
    <row r="94" spans="2:9" ht="13.5" customHeight="1" x14ac:dyDescent="0.25">
      <c r="B94" s="31"/>
      <c r="C94" s="31"/>
      <c r="D94" s="31"/>
      <c r="E94" s="31"/>
      <c r="F94" s="31"/>
      <c r="G94" s="31"/>
      <c r="H94" s="31"/>
      <c r="I94" s="31"/>
    </row>
    <row r="95" spans="2:9" ht="13.5" customHeight="1" x14ac:dyDescent="0.25">
      <c r="B95" s="30"/>
      <c r="C95" s="30"/>
      <c r="D95" s="30"/>
      <c r="E95" s="30"/>
      <c r="F95" s="30"/>
      <c r="G95" s="30"/>
      <c r="H95" s="30"/>
      <c r="I95" s="30"/>
    </row>
    <row r="96" spans="2:9" ht="13.5" customHeight="1" x14ac:dyDescent="0.25">
      <c r="B96" s="31"/>
      <c r="C96" s="31"/>
      <c r="D96" s="31"/>
      <c r="E96" s="31"/>
      <c r="F96" s="31"/>
      <c r="G96" s="31"/>
      <c r="H96" s="31"/>
      <c r="I96" s="31"/>
    </row>
    <row r="97" spans="2:9" ht="13.5" customHeight="1" x14ac:dyDescent="0.25">
      <c r="B97" s="30"/>
      <c r="C97" s="30"/>
      <c r="D97" s="30"/>
      <c r="E97" s="30"/>
      <c r="F97" s="30"/>
      <c r="G97" s="30"/>
      <c r="H97" s="30"/>
      <c r="I97" s="30"/>
    </row>
    <row r="98" spans="2:9" ht="13.5" customHeight="1" x14ac:dyDescent="0.25">
      <c r="B98" s="31"/>
      <c r="C98" s="31"/>
      <c r="D98" s="31"/>
      <c r="E98" s="31"/>
      <c r="F98" s="31"/>
      <c r="G98" s="31"/>
      <c r="H98" s="31"/>
      <c r="I98" s="31"/>
    </row>
    <row r="99" spans="2:9" ht="13.5" customHeight="1" x14ac:dyDescent="0.25">
      <c r="B99" s="30"/>
      <c r="C99" s="30"/>
      <c r="D99" s="30"/>
      <c r="E99" s="30"/>
      <c r="F99" s="30"/>
      <c r="G99" s="30"/>
      <c r="H99" s="30"/>
      <c r="I99" s="30"/>
    </row>
    <row r="100" spans="2:9" ht="13.5" customHeight="1" x14ac:dyDescent="0.25">
      <c r="B100" s="31"/>
      <c r="C100" s="31"/>
      <c r="D100" s="31"/>
      <c r="E100" s="31"/>
      <c r="F100" s="31"/>
      <c r="G100" s="31"/>
      <c r="H100" s="31"/>
      <c r="I100" s="31"/>
    </row>
    <row r="101" spans="2:9" ht="13.5" customHeight="1" x14ac:dyDescent="0.25">
      <c r="B101" s="30"/>
      <c r="C101" s="30"/>
      <c r="D101" s="30"/>
      <c r="E101" s="30"/>
      <c r="F101" s="30"/>
      <c r="G101" s="30"/>
      <c r="H101" s="30"/>
      <c r="I101" s="30"/>
    </row>
    <row r="102" spans="2:9" ht="13.5" customHeight="1" x14ac:dyDescent="0.25">
      <c r="B102" s="31"/>
      <c r="C102" s="31"/>
      <c r="D102" s="31"/>
      <c r="E102" s="31"/>
      <c r="F102" s="31"/>
      <c r="G102" s="31"/>
      <c r="H102" s="31"/>
      <c r="I102" s="31"/>
    </row>
    <row r="103" spans="2:9" ht="13.5" customHeight="1" x14ac:dyDescent="0.25">
      <c r="B103" s="30"/>
      <c r="C103" s="30"/>
      <c r="D103" s="30"/>
      <c r="E103" s="30"/>
      <c r="F103" s="30"/>
      <c r="G103" s="30"/>
      <c r="H103" s="30"/>
      <c r="I103" s="30"/>
    </row>
    <row r="104" spans="2:9" ht="13.5" customHeight="1" x14ac:dyDescent="0.25">
      <c r="B104" s="31"/>
      <c r="C104" s="31"/>
      <c r="D104" s="31"/>
      <c r="E104" s="31"/>
      <c r="F104" s="31"/>
      <c r="G104" s="31"/>
      <c r="H104" s="31"/>
      <c r="I104" s="31"/>
    </row>
    <row r="105" spans="2:9" ht="13.5" customHeight="1" x14ac:dyDescent="0.25">
      <c r="B105" s="30"/>
      <c r="C105" s="30"/>
      <c r="D105" s="30"/>
      <c r="E105" s="30"/>
      <c r="F105" s="30"/>
      <c r="G105" s="30"/>
      <c r="H105" s="30"/>
      <c r="I105" s="30"/>
    </row>
    <row r="106" spans="2:9" ht="13.5" customHeight="1" x14ac:dyDescent="0.25">
      <c r="B106" s="31"/>
      <c r="C106" s="31"/>
      <c r="D106" s="31"/>
      <c r="E106" s="31"/>
      <c r="F106" s="31"/>
      <c r="G106" s="31"/>
      <c r="H106" s="31"/>
      <c r="I106" s="31"/>
    </row>
    <row r="107" spans="2:9" ht="13.5" customHeight="1" x14ac:dyDescent="0.25">
      <c r="B107" s="30"/>
      <c r="C107" s="30"/>
      <c r="D107" s="30"/>
      <c r="E107" s="30"/>
      <c r="F107" s="30"/>
      <c r="G107" s="30"/>
      <c r="H107" s="30"/>
      <c r="I107" s="30"/>
    </row>
    <row r="108" spans="2:9" ht="13.5" customHeight="1" x14ac:dyDescent="0.25">
      <c r="B108" s="31"/>
      <c r="C108" s="31"/>
      <c r="D108" s="31"/>
      <c r="E108" s="31"/>
      <c r="F108" s="31"/>
      <c r="G108" s="31"/>
      <c r="H108" s="31"/>
      <c r="I108" s="31"/>
    </row>
    <row r="109" spans="2:9" ht="13.5" customHeight="1" x14ac:dyDescent="0.25">
      <c r="B109" s="30"/>
      <c r="C109" s="30"/>
      <c r="D109" s="30"/>
      <c r="E109" s="30"/>
      <c r="F109" s="30"/>
      <c r="G109" s="30"/>
      <c r="H109" s="30"/>
      <c r="I109" s="30"/>
    </row>
    <row r="110" spans="2:9" ht="13.5" customHeight="1" x14ac:dyDescent="0.25">
      <c r="B110" s="31"/>
      <c r="C110" s="31"/>
      <c r="D110" s="31"/>
      <c r="E110" s="31"/>
      <c r="F110" s="31"/>
      <c r="G110" s="31"/>
      <c r="H110" s="31"/>
      <c r="I110" s="31"/>
    </row>
  </sheetData>
  <mergeCells count="2">
    <mergeCell ref="B1:I1"/>
    <mergeCell ref="B2:I2"/>
  </mergeCells>
  <dataValidations count="2">
    <dataValidation type="list" allowBlank="1" sqref="C4:C110" xr:uid="{00000000-0002-0000-0500-000000000000}">
      <formula1>"Janeiro,Fevereiro,Março,Abril,Maio,Junho,Julho,Agosto,Setembro,Outubro,Novembro,Dezembro"</formula1>
      <formula2>0</formula2>
    </dataValidation>
    <dataValidation type="list" allowBlank="1" sqref="H4:H110" xr:uid="{00000000-0002-0000-0500-000001000000}">
      <formula1>"concluído,pendente,processo"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79998168889431442"/>
  </sheetPr>
  <dimension ref="B1:H99"/>
  <sheetViews>
    <sheetView showGridLines="0" zoomScaleNormal="100" workbookViewId="0"/>
  </sheetViews>
  <sheetFormatPr defaultColWidth="8.7109375" defaultRowHeight="15" x14ac:dyDescent="0.25"/>
  <cols>
    <col min="1" max="1" width="1.5703125" customWidth="1"/>
    <col min="2" max="2" width="12" customWidth="1"/>
    <col min="3" max="3" width="14" customWidth="1"/>
    <col min="4" max="5" width="28" customWidth="1"/>
    <col min="6" max="6" width="14" customWidth="1"/>
    <col min="7" max="7" width="10" customWidth="1"/>
    <col min="8" max="8" width="14" customWidth="1"/>
  </cols>
  <sheetData>
    <row r="1" spans="2:8" ht="27.75" customHeight="1" x14ac:dyDescent="0.25">
      <c r="B1" s="69" t="s">
        <v>193</v>
      </c>
      <c r="C1" s="59"/>
      <c r="D1" s="59"/>
      <c r="E1" s="59"/>
      <c r="F1" s="59"/>
      <c r="G1" s="59"/>
      <c r="H1" s="59"/>
    </row>
    <row r="2" spans="2:8" ht="15.75" customHeight="1" x14ac:dyDescent="0.25">
      <c r="B2" s="70" t="s">
        <v>194</v>
      </c>
      <c r="C2" s="59"/>
      <c r="D2" s="59"/>
      <c r="E2" s="59"/>
      <c r="F2" s="59"/>
      <c r="G2" s="59"/>
      <c r="H2" s="59"/>
    </row>
    <row r="3" spans="2:8" ht="18" customHeight="1" x14ac:dyDescent="0.25">
      <c r="B3" s="2" t="s">
        <v>19</v>
      </c>
      <c r="C3" s="2" t="s">
        <v>20</v>
      </c>
      <c r="D3" s="2" t="s">
        <v>38</v>
      </c>
      <c r="E3" s="2" t="s">
        <v>22</v>
      </c>
      <c r="F3" s="2" t="s">
        <v>39</v>
      </c>
      <c r="G3" s="2" t="s">
        <v>11</v>
      </c>
      <c r="H3" s="2" t="s">
        <v>195</v>
      </c>
    </row>
    <row r="4" spans="2:8" ht="13.5" customHeight="1" x14ac:dyDescent="0.25">
      <c r="B4" s="32" t="s">
        <v>196</v>
      </c>
      <c r="C4" s="32" t="s">
        <v>1</v>
      </c>
      <c r="D4" s="33" t="s">
        <v>197</v>
      </c>
      <c r="E4" s="33" t="s">
        <v>58</v>
      </c>
      <c r="F4" s="34">
        <v>12</v>
      </c>
      <c r="G4" s="32">
        <v>25</v>
      </c>
      <c r="H4" s="35">
        <v>300</v>
      </c>
    </row>
    <row r="5" spans="2:8" ht="13.5" customHeight="1" x14ac:dyDescent="0.25">
      <c r="B5" s="15" t="s">
        <v>198</v>
      </c>
      <c r="C5" s="15" t="s">
        <v>1</v>
      </c>
      <c r="D5" s="18" t="s">
        <v>199</v>
      </c>
      <c r="E5" s="18" t="s">
        <v>59</v>
      </c>
      <c r="F5" s="8">
        <v>10</v>
      </c>
      <c r="G5" s="15">
        <v>20</v>
      </c>
      <c r="H5" s="7">
        <v>200</v>
      </c>
    </row>
    <row r="6" spans="2:8" ht="13.5" customHeight="1" x14ac:dyDescent="0.25">
      <c r="B6" s="32" t="s">
        <v>200</v>
      </c>
      <c r="C6" s="32" t="s">
        <v>1</v>
      </c>
      <c r="D6" s="33" t="s">
        <v>201</v>
      </c>
      <c r="E6" s="33" t="s">
        <v>60</v>
      </c>
      <c r="F6" s="34">
        <v>8</v>
      </c>
      <c r="G6" s="32">
        <v>15</v>
      </c>
      <c r="H6" s="35">
        <v>120</v>
      </c>
    </row>
    <row r="7" spans="2:8" ht="13.5" customHeight="1" x14ac:dyDescent="0.25">
      <c r="B7" s="15" t="s">
        <v>134</v>
      </c>
      <c r="C7" s="15" t="s">
        <v>1</v>
      </c>
      <c r="D7" s="18" t="s">
        <v>202</v>
      </c>
      <c r="E7" s="18" t="s">
        <v>61</v>
      </c>
      <c r="F7" s="8">
        <v>25</v>
      </c>
      <c r="G7" s="15">
        <v>10</v>
      </c>
      <c r="H7" s="7">
        <v>250</v>
      </c>
    </row>
    <row r="8" spans="2:8" ht="13.5" customHeight="1" x14ac:dyDescent="0.25">
      <c r="B8" s="32" t="s">
        <v>203</v>
      </c>
      <c r="C8" s="32" t="s">
        <v>1</v>
      </c>
      <c r="D8" s="33" t="s">
        <v>204</v>
      </c>
      <c r="E8" s="33" t="s">
        <v>62</v>
      </c>
      <c r="F8" s="34">
        <v>12</v>
      </c>
      <c r="G8" s="32">
        <v>18</v>
      </c>
      <c r="H8" s="35">
        <v>216</v>
      </c>
    </row>
    <row r="9" spans="2:8" ht="13.5" customHeight="1" x14ac:dyDescent="0.25">
      <c r="B9" s="15" t="s">
        <v>137</v>
      </c>
      <c r="C9" s="15" t="s">
        <v>1</v>
      </c>
      <c r="D9" s="18" t="s">
        <v>205</v>
      </c>
      <c r="E9" s="18" t="s">
        <v>63</v>
      </c>
      <c r="F9" s="8">
        <v>13</v>
      </c>
      <c r="G9" s="15">
        <v>15</v>
      </c>
      <c r="H9" s="7">
        <v>195</v>
      </c>
    </row>
    <row r="10" spans="2:8" ht="13.5" customHeight="1" x14ac:dyDescent="0.25">
      <c r="B10" s="32" t="s">
        <v>140</v>
      </c>
      <c r="C10" s="32" t="s">
        <v>1</v>
      </c>
      <c r="D10" s="33" t="s">
        <v>202</v>
      </c>
      <c r="E10" s="33" t="s">
        <v>65</v>
      </c>
      <c r="F10" s="34">
        <v>30</v>
      </c>
      <c r="G10" s="32">
        <v>10</v>
      </c>
      <c r="H10" s="35">
        <v>300</v>
      </c>
    </row>
    <row r="11" spans="2:8" ht="13.5" customHeight="1" x14ac:dyDescent="0.25">
      <c r="B11" s="15" t="s">
        <v>142</v>
      </c>
      <c r="C11" s="15" t="s">
        <v>1</v>
      </c>
      <c r="D11" s="18" t="s">
        <v>206</v>
      </c>
      <c r="E11" s="18" t="s">
        <v>66</v>
      </c>
      <c r="F11" s="8">
        <v>14</v>
      </c>
      <c r="G11" s="15">
        <v>15</v>
      </c>
      <c r="H11" s="7">
        <v>210</v>
      </c>
    </row>
    <row r="12" spans="2:8" ht="13.5" customHeight="1" x14ac:dyDescent="0.25">
      <c r="B12" s="32" t="s">
        <v>144</v>
      </c>
      <c r="C12" s="32" t="s">
        <v>1</v>
      </c>
      <c r="D12" s="33" t="s">
        <v>199</v>
      </c>
      <c r="E12" s="33" t="s">
        <v>67</v>
      </c>
      <c r="F12" s="34">
        <v>19</v>
      </c>
      <c r="G12" s="32">
        <v>8</v>
      </c>
      <c r="H12" s="35">
        <v>152</v>
      </c>
    </row>
    <row r="13" spans="2:8" ht="13.5" customHeight="1" x14ac:dyDescent="0.25">
      <c r="B13" s="15" t="s">
        <v>150</v>
      </c>
      <c r="C13" s="15" t="s">
        <v>31</v>
      </c>
      <c r="D13" s="18" t="s">
        <v>204</v>
      </c>
      <c r="E13" s="18" t="s">
        <v>62</v>
      </c>
      <c r="F13" s="8">
        <v>12</v>
      </c>
      <c r="G13" s="15">
        <v>30</v>
      </c>
      <c r="H13" s="7">
        <v>360</v>
      </c>
    </row>
    <row r="14" spans="2:8" ht="13.5" customHeight="1" x14ac:dyDescent="0.25">
      <c r="B14" s="32" t="s">
        <v>207</v>
      </c>
      <c r="C14" s="32" t="s">
        <v>31</v>
      </c>
      <c r="D14" s="33" t="s">
        <v>205</v>
      </c>
      <c r="E14" s="33" t="s">
        <v>70</v>
      </c>
      <c r="F14" s="34">
        <v>10</v>
      </c>
      <c r="G14" s="32">
        <v>20</v>
      </c>
      <c r="H14" s="35">
        <v>200</v>
      </c>
    </row>
    <row r="15" spans="2:8" ht="13.5" customHeight="1" x14ac:dyDescent="0.25">
      <c r="B15" s="15" t="s">
        <v>208</v>
      </c>
      <c r="C15" s="15" t="s">
        <v>31</v>
      </c>
      <c r="D15" s="18" t="s">
        <v>205</v>
      </c>
      <c r="E15" s="18" t="s">
        <v>63</v>
      </c>
      <c r="F15" s="8">
        <v>13</v>
      </c>
      <c r="G15" s="15">
        <v>10</v>
      </c>
      <c r="H15" s="7">
        <v>130</v>
      </c>
    </row>
    <row r="16" spans="2:8" ht="13.5" customHeight="1" x14ac:dyDescent="0.25">
      <c r="B16" s="32" t="s">
        <v>209</v>
      </c>
      <c r="C16" s="32" t="s">
        <v>31</v>
      </c>
      <c r="D16" s="33" t="s">
        <v>197</v>
      </c>
      <c r="E16" s="33" t="s">
        <v>64</v>
      </c>
      <c r="F16" s="34">
        <v>14</v>
      </c>
      <c r="G16" s="32">
        <v>20</v>
      </c>
      <c r="H16" s="35">
        <v>280</v>
      </c>
    </row>
    <row r="17" spans="2:8" ht="13.5" customHeight="1" x14ac:dyDescent="0.25">
      <c r="B17" s="15" t="s">
        <v>210</v>
      </c>
      <c r="C17" s="15" t="s">
        <v>31</v>
      </c>
      <c r="D17" s="18" t="s">
        <v>197</v>
      </c>
      <c r="E17" s="18" t="s">
        <v>71</v>
      </c>
      <c r="F17" s="8">
        <v>17</v>
      </c>
      <c r="G17" s="15">
        <v>10</v>
      </c>
      <c r="H17" s="7">
        <v>170</v>
      </c>
    </row>
    <row r="18" spans="2:8" ht="13.5" customHeight="1" x14ac:dyDescent="0.25">
      <c r="B18" s="32" t="s">
        <v>211</v>
      </c>
      <c r="C18" s="32" t="s">
        <v>31</v>
      </c>
      <c r="D18" s="33" t="s">
        <v>197</v>
      </c>
      <c r="E18" s="33" t="s">
        <v>72</v>
      </c>
      <c r="F18" s="34">
        <v>18</v>
      </c>
      <c r="G18" s="32">
        <v>15</v>
      </c>
      <c r="H18" s="35">
        <v>270</v>
      </c>
    </row>
    <row r="19" spans="2:8" ht="13.5" customHeight="1" x14ac:dyDescent="0.25">
      <c r="B19" s="15" t="s">
        <v>212</v>
      </c>
      <c r="C19" s="15" t="s">
        <v>31</v>
      </c>
      <c r="D19" s="18" t="s">
        <v>199</v>
      </c>
      <c r="E19" s="18" t="s">
        <v>73</v>
      </c>
      <c r="F19" s="8">
        <v>17</v>
      </c>
      <c r="G19" s="15">
        <v>15</v>
      </c>
      <c r="H19" s="7">
        <v>255</v>
      </c>
    </row>
    <row r="20" spans="2:8" ht="13.5" customHeight="1" x14ac:dyDescent="0.25">
      <c r="B20" s="32" t="s">
        <v>213</v>
      </c>
      <c r="C20" s="32" t="s">
        <v>31</v>
      </c>
      <c r="D20" s="33" t="s">
        <v>199</v>
      </c>
      <c r="E20" s="33" t="s">
        <v>59</v>
      </c>
      <c r="F20" s="34">
        <v>15</v>
      </c>
      <c r="G20" s="32">
        <v>15</v>
      </c>
      <c r="H20" s="35">
        <v>225</v>
      </c>
    </row>
    <row r="21" spans="2:8" ht="13.5" customHeight="1" x14ac:dyDescent="0.25">
      <c r="B21" s="15" t="s">
        <v>151</v>
      </c>
      <c r="C21" s="15" t="s">
        <v>31</v>
      </c>
      <c r="D21" s="18" t="s">
        <v>202</v>
      </c>
      <c r="E21" s="18" t="s">
        <v>78</v>
      </c>
      <c r="F21" s="8">
        <v>30</v>
      </c>
      <c r="G21" s="15">
        <v>10</v>
      </c>
      <c r="H21" s="7">
        <v>300</v>
      </c>
    </row>
    <row r="22" spans="2:8" ht="13.5" customHeight="1" x14ac:dyDescent="0.25">
      <c r="B22" s="32" t="s">
        <v>154</v>
      </c>
      <c r="C22" s="32" t="s">
        <v>31</v>
      </c>
      <c r="D22" s="33" t="s">
        <v>199</v>
      </c>
      <c r="E22" s="33" t="s">
        <v>67</v>
      </c>
      <c r="F22" s="34">
        <v>19</v>
      </c>
      <c r="G22" s="32">
        <v>10</v>
      </c>
      <c r="H22" s="35">
        <v>190</v>
      </c>
    </row>
    <row r="23" spans="2:8" ht="13.5" customHeight="1" x14ac:dyDescent="0.25">
      <c r="B23" s="15" t="s">
        <v>157</v>
      </c>
      <c r="C23" s="15" t="s">
        <v>31</v>
      </c>
      <c r="D23" s="18" t="s">
        <v>204</v>
      </c>
      <c r="E23" s="18" t="s">
        <v>75</v>
      </c>
      <c r="F23" s="8">
        <v>17</v>
      </c>
      <c r="G23" s="15">
        <v>20</v>
      </c>
      <c r="H23" s="7">
        <v>340</v>
      </c>
    </row>
    <row r="24" spans="2:8" ht="13.5" customHeight="1" x14ac:dyDescent="0.25">
      <c r="B24" s="32" t="s">
        <v>156</v>
      </c>
      <c r="C24" s="32" t="s">
        <v>31</v>
      </c>
      <c r="D24" s="33" t="s">
        <v>206</v>
      </c>
      <c r="E24" s="33" t="s">
        <v>66</v>
      </c>
      <c r="F24" s="34">
        <v>14</v>
      </c>
      <c r="G24" s="32">
        <v>10</v>
      </c>
      <c r="H24" s="35">
        <v>140</v>
      </c>
    </row>
    <row r="25" spans="2:8" ht="13.5" customHeight="1" x14ac:dyDescent="0.25">
      <c r="B25" s="15" t="s">
        <v>152</v>
      </c>
      <c r="C25" s="15" t="s">
        <v>31</v>
      </c>
      <c r="D25" s="18" t="s">
        <v>206</v>
      </c>
      <c r="E25" s="18" t="s">
        <v>114</v>
      </c>
      <c r="F25" s="8">
        <v>16</v>
      </c>
      <c r="G25" s="15">
        <v>15</v>
      </c>
      <c r="H25" s="7">
        <v>240</v>
      </c>
    </row>
    <row r="26" spans="2:8" ht="13.5" customHeight="1" x14ac:dyDescent="0.25">
      <c r="B26" s="32" t="s">
        <v>159</v>
      </c>
      <c r="C26" s="32" t="s">
        <v>31</v>
      </c>
      <c r="D26" s="33" t="s">
        <v>206</v>
      </c>
      <c r="E26" s="33" t="s">
        <v>81</v>
      </c>
      <c r="F26" s="34">
        <v>12</v>
      </c>
      <c r="G26" s="32">
        <v>15</v>
      </c>
      <c r="H26" s="35">
        <v>180</v>
      </c>
    </row>
    <row r="27" spans="2:8" ht="13.5" customHeight="1" x14ac:dyDescent="0.25">
      <c r="B27" s="15" t="s">
        <v>160</v>
      </c>
      <c r="C27" s="15" t="s">
        <v>31</v>
      </c>
      <c r="D27" s="18" t="s">
        <v>205</v>
      </c>
      <c r="E27" s="18" t="s">
        <v>80</v>
      </c>
      <c r="F27" s="8">
        <v>10</v>
      </c>
      <c r="G27" s="15">
        <v>10</v>
      </c>
      <c r="H27" s="7">
        <v>100</v>
      </c>
    </row>
    <row r="28" spans="2:8" ht="13.5" customHeight="1" x14ac:dyDescent="0.25">
      <c r="B28" s="32" t="s">
        <v>158</v>
      </c>
      <c r="C28" s="32" t="s">
        <v>31</v>
      </c>
      <c r="D28" s="33" t="s">
        <v>204</v>
      </c>
      <c r="E28" s="33" t="s">
        <v>68</v>
      </c>
      <c r="F28" s="34">
        <v>15</v>
      </c>
      <c r="G28" s="32">
        <v>30</v>
      </c>
      <c r="H28" s="35">
        <v>450</v>
      </c>
    </row>
    <row r="29" spans="2:8" ht="13.5" customHeight="1" x14ac:dyDescent="0.25">
      <c r="B29" s="15" t="s">
        <v>162</v>
      </c>
      <c r="C29" s="15" t="s">
        <v>31</v>
      </c>
      <c r="D29" s="18" t="s">
        <v>201</v>
      </c>
      <c r="E29" s="18" t="s">
        <v>76</v>
      </c>
      <c r="F29" s="8">
        <v>6</v>
      </c>
      <c r="G29" s="15">
        <v>10</v>
      </c>
      <c r="H29" s="7">
        <v>60</v>
      </c>
    </row>
    <row r="30" spans="2:8" ht="13.5" customHeight="1" x14ac:dyDescent="0.25">
      <c r="B30" s="32" t="s">
        <v>214</v>
      </c>
      <c r="C30" s="32" t="s">
        <v>173</v>
      </c>
      <c r="D30" s="33" t="s">
        <v>206</v>
      </c>
      <c r="E30" s="33" t="s">
        <v>66</v>
      </c>
      <c r="F30" s="34">
        <v>14</v>
      </c>
      <c r="G30" s="32">
        <v>25</v>
      </c>
      <c r="H30" s="35">
        <v>350</v>
      </c>
    </row>
    <row r="31" spans="2:8" ht="13.5" customHeight="1" x14ac:dyDescent="0.25">
      <c r="B31" s="15" t="s">
        <v>172</v>
      </c>
      <c r="C31" s="15" t="s">
        <v>173</v>
      </c>
      <c r="D31" s="18" t="s">
        <v>197</v>
      </c>
      <c r="E31" s="18" t="s">
        <v>79</v>
      </c>
      <c r="F31" s="8">
        <v>10</v>
      </c>
      <c r="G31" s="15">
        <v>20</v>
      </c>
      <c r="H31" s="7">
        <v>200</v>
      </c>
    </row>
    <row r="32" spans="2:8" ht="13.5" customHeight="1" x14ac:dyDescent="0.25">
      <c r="B32" s="32" t="s">
        <v>177</v>
      </c>
      <c r="C32" s="32" t="s">
        <v>173</v>
      </c>
      <c r="D32" s="33" t="s">
        <v>201</v>
      </c>
      <c r="E32" s="33" t="s">
        <v>76</v>
      </c>
      <c r="F32" s="34">
        <v>6</v>
      </c>
      <c r="G32" s="32">
        <v>20</v>
      </c>
      <c r="H32" s="35">
        <v>120</v>
      </c>
    </row>
    <row r="33" spans="2:8" ht="13.5" customHeight="1" x14ac:dyDescent="0.25">
      <c r="B33" s="15" t="s">
        <v>179</v>
      </c>
      <c r="C33" s="15" t="s">
        <v>173</v>
      </c>
      <c r="D33" s="18" t="s">
        <v>204</v>
      </c>
      <c r="E33" s="18" t="s">
        <v>68</v>
      </c>
      <c r="F33" s="8">
        <v>15</v>
      </c>
      <c r="G33" s="15">
        <v>20</v>
      </c>
      <c r="H33" s="7">
        <v>300</v>
      </c>
    </row>
    <row r="34" spans="2:8" ht="13.5" customHeight="1" x14ac:dyDescent="0.25">
      <c r="B34" s="32" t="s">
        <v>176</v>
      </c>
      <c r="C34" s="32" t="s">
        <v>173</v>
      </c>
      <c r="D34" s="33" t="s">
        <v>205</v>
      </c>
      <c r="E34" s="33" t="s">
        <v>80</v>
      </c>
      <c r="F34" s="34">
        <v>10</v>
      </c>
      <c r="G34" s="32">
        <v>30</v>
      </c>
      <c r="H34" s="35">
        <v>300</v>
      </c>
    </row>
    <row r="35" spans="2:8" ht="13.5" customHeight="1" x14ac:dyDescent="0.25">
      <c r="B35" s="15" t="s">
        <v>178</v>
      </c>
      <c r="C35" s="15" t="s">
        <v>173</v>
      </c>
      <c r="D35" s="18" t="s">
        <v>202</v>
      </c>
      <c r="E35" s="18" t="s">
        <v>61</v>
      </c>
      <c r="F35" s="8">
        <v>25</v>
      </c>
      <c r="G35" s="15">
        <v>15</v>
      </c>
      <c r="H35" s="7">
        <v>375</v>
      </c>
    </row>
    <row r="36" spans="2:8" ht="13.5" customHeight="1" x14ac:dyDescent="0.25">
      <c r="B36" s="32" t="s">
        <v>183</v>
      </c>
      <c r="C36" s="32" t="s">
        <v>173</v>
      </c>
      <c r="D36" s="33" t="s">
        <v>199</v>
      </c>
      <c r="E36" s="33" t="s">
        <v>67</v>
      </c>
      <c r="F36" s="34">
        <v>19</v>
      </c>
      <c r="G36" s="32">
        <v>15</v>
      </c>
      <c r="H36" s="35">
        <v>285</v>
      </c>
    </row>
    <row r="37" spans="2:8" ht="13.5" customHeight="1" x14ac:dyDescent="0.25">
      <c r="B37" s="15" t="s">
        <v>182</v>
      </c>
      <c r="C37" s="15" t="s">
        <v>173</v>
      </c>
      <c r="D37" s="18" t="s">
        <v>206</v>
      </c>
      <c r="E37" s="18" t="s">
        <v>81</v>
      </c>
      <c r="F37" s="8">
        <v>12</v>
      </c>
      <c r="G37" s="15">
        <v>30</v>
      </c>
      <c r="H37" s="7">
        <v>360</v>
      </c>
    </row>
    <row r="38" spans="2:8" ht="13.5" customHeight="1" x14ac:dyDescent="0.25">
      <c r="B38" s="32" t="s">
        <v>184</v>
      </c>
      <c r="C38" s="32" t="s">
        <v>173</v>
      </c>
      <c r="D38" s="33" t="s">
        <v>197</v>
      </c>
      <c r="E38" s="33" t="s">
        <v>71</v>
      </c>
      <c r="F38" s="34">
        <v>17</v>
      </c>
      <c r="G38" s="32">
        <v>20</v>
      </c>
      <c r="H38" s="35">
        <v>340</v>
      </c>
    </row>
    <row r="39" spans="2:8" ht="13.5" customHeight="1" x14ac:dyDescent="0.25">
      <c r="B39" s="15" t="s">
        <v>191</v>
      </c>
      <c r="C39" s="15" t="s">
        <v>173</v>
      </c>
      <c r="D39" s="18" t="s">
        <v>204</v>
      </c>
      <c r="E39" s="18" t="s">
        <v>75</v>
      </c>
      <c r="F39" s="8">
        <v>17</v>
      </c>
      <c r="G39" s="15">
        <v>15</v>
      </c>
      <c r="H39" s="7">
        <v>255</v>
      </c>
    </row>
    <row r="40" spans="2:8" ht="13.5" customHeight="1" x14ac:dyDescent="0.25">
      <c r="B40" s="36"/>
      <c r="C40" s="36"/>
      <c r="D40" s="36"/>
      <c r="E40" s="36"/>
      <c r="F40" s="36"/>
      <c r="G40" s="36"/>
      <c r="H40" s="35">
        <f t="shared" ref="H40:H71" si="0">IF(AND(F40&lt;&gt;"",G40&lt;&gt;""),F40*G40,0)</f>
        <v>0</v>
      </c>
    </row>
    <row r="41" spans="2:8" ht="13.5" customHeight="1" x14ac:dyDescent="0.25">
      <c r="B41" s="30"/>
      <c r="C41" s="30"/>
      <c r="D41" s="30"/>
      <c r="E41" s="30"/>
      <c r="F41" s="30"/>
      <c r="G41" s="30"/>
      <c r="H41" s="7">
        <f t="shared" si="0"/>
        <v>0</v>
      </c>
    </row>
    <row r="42" spans="2:8" ht="13.5" customHeight="1" x14ac:dyDescent="0.25">
      <c r="B42" s="36"/>
      <c r="C42" s="36"/>
      <c r="D42" s="36"/>
      <c r="E42" s="36"/>
      <c r="F42" s="36"/>
      <c r="G42" s="36"/>
      <c r="H42" s="35">
        <f t="shared" si="0"/>
        <v>0</v>
      </c>
    </row>
    <row r="43" spans="2:8" ht="13.5" customHeight="1" x14ac:dyDescent="0.25">
      <c r="B43" s="30"/>
      <c r="C43" s="30"/>
      <c r="D43" s="30"/>
      <c r="E43" s="30"/>
      <c r="F43" s="30"/>
      <c r="G43" s="30"/>
      <c r="H43" s="7">
        <f t="shared" si="0"/>
        <v>0</v>
      </c>
    </row>
    <row r="44" spans="2:8" ht="13.5" customHeight="1" x14ac:dyDescent="0.25">
      <c r="B44" s="36"/>
      <c r="C44" s="36"/>
      <c r="D44" s="36"/>
      <c r="E44" s="36"/>
      <c r="F44" s="36"/>
      <c r="G44" s="36"/>
      <c r="H44" s="35">
        <f t="shared" si="0"/>
        <v>0</v>
      </c>
    </row>
    <row r="45" spans="2:8" ht="13.5" customHeight="1" x14ac:dyDescent="0.25">
      <c r="B45" s="30"/>
      <c r="C45" s="30"/>
      <c r="D45" s="30"/>
      <c r="E45" s="30"/>
      <c r="F45" s="30"/>
      <c r="G45" s="30"/>
      <c r="H45" s="7">
        <f t="shared" si="0"/>
        <v>0</v>
      </c>
    </row>
    <row r="46" spans="2:8" ht="13.5" customHeight="1" x14ac:dyDescent="0.25">
      <c r="B46" s="36"/>
      <c r="C46" s="36"/>
      <c r="D46" s="36"/>
      <c r="E46" s="36"/>
      <c r="F46" s="36"/>
      <c r="G46" s="36"/>
      <c r="H46" s="35">
        <f t="shared" si="0"/>
        <v>0</v>
      </c>
    </row>
    <row r="47" spans="2:8" ht="13.5" customHeight="1" x14ac:dyDescent="0.25">
      <c r="B47" s="30"/>
      <c r="C47" s="30"/>
      <c r="D47" s="30"/>
      <c r="E47" s="30"/>
      <c r="F47" s="30"/>
      <c r="G47" s="30"/>
      <c r="H47" s="7">
        <f t="shared" si="0"/>
        <v>0</v>
      </c>
    </row>
    <row r="48" spans="2:8" ht="13.5" customHeight="1" x14ac:dyDescent="0.25">
      <c r="B48" s="36"/>
      <c r="C48" s="36"/>
      <c r="D48" s="36"/>
      <c r="E48" s="36"/>
      <c r="F48" s="36"/>
      <c r="G48" s="36"/>
      <c r="H48" s="35">
        <f t="shared" si="0"/>
        <v>0</v>
      </c>
    </row>
    <row r="49" spans="2:8" ht="13.5" customHeight="1" x14ac:dyDescent="0.25">
      <c r="B49" s="30"/>
      <c r="C49" s="30"/>
      <c r="D49" s="30"/>
      <c r="E49" s="30"/>
      <c r="F49" s="30"/>
      <c r="G49" s="30"/>
      <c r="H49" s="7">
        <f t="shared" si="0"/>
        <v>0</v>
      </c>
    </row>
    <row r="50" spans="2:8" ht="13.5" customHeight="1" x14ac:dyDescent="0.25">
      <c r="B50" s="36"/>
      <c r="C50" s="36"/>
      <c r="D50" s="36"/>
      <c r="E50" s="36"/>
      <c r="F50" s="36"/>
      <c r="G50" s="36"/>
      <c r="H50" s="35">
        <f t="shared" si="0"/>
        <v>0</v>
      </c>
    </row>
    <row r="51" spans="2:8" ht="13.5" customHeight="1" x14ac:dyDescent="0.25">
      <c r="B51" s="30"/>
      <c r="C51" s="30"/>
      <c r="D51" s="30"/>
      <c r="E51" s="30"/>
      <c r="F51" s="30"/>
      <c r="G51" s="30"/>
      <c r="H51" s="7">
        <f t="shared" si="0"/>
        <v>0</v>
      </c>
    </row>
    <row r="52" spans="2:8" ht="13.5" customHeight="1" x14ac:dyDescent="0.25">
      <c r="B52" s="36"/>
      <c r="C52" s="36"/>
      <c r="D52" s="36"/>
      <c r="E52" s="36"/>
      <c r="F52" s="36"/>
      <c r="G52" s="36"/>
      <c r="H52" s="35">
        <f t="shared" si="0"/>
        <v>0</v>
      </c>
    </row>
    <row r="53" spans="2:8" ht="13.5" customHeight="1" x14ac:dyDescent="0.25">
      <c r="B53" s="30"/>
      <c r="C53" s="30"/>
      <c r="D53" s="30"/>
      <c r="E53" s="30"/>
      <c r="F53" s="30"/>
      <c r="G53" s="30"/>
      <c r="H53" s="7">
        <f t="shared" si="0"/>
        <v>0</v>
      </c>
    </row>
    <row r="54" spans="2:8" ht="13.5" customHeight="1" x14ac:dyDescent="0.25">
      <c r="B54" s="36"/>
      <c r="C54" s="36"/>
      <c r="D54" s="36"/>
      <c r="E54" s="36"/>
      <c r="F54" s="36"/>
      <c r="G54" s="36"/>
      <c r="H54" s="35">
        <f t="shared" si="0"/>
        <v>0</v>
      </c>
    </row>
    <row r="55" spans="2:8" ht="13.5" customHeight="1" x14ac:dyDescent="0.25">
      <c r="B55" s="30"/>
      <c r="C55" s="30"/>
      <c r="D55" s="30"/>
      <c r="E55" s="30"/>
      <c r="F55" s="30"/>
      <c r="G55" s="30"/>
      <c r="H55" s="7">
        <f t="shared" si="0"/>
        <v>0</v>
      </c>
    </row>
    <row r="56" spans="2:8" ht="13.5" customHeight="1" x14ac:dyDescent="0.25">
      <c r="B56" s="36"/>
      <c r="C56" s="36"/>
      <c r="D56" s="36"/>
      <c r="E56" s="36"/>
      <c r="F56" s="36"/>
      <c r="G56" s="36"/>
      <c r="H56" s="35">
        <f t="shared" si="0"/>
        <v>0</v>
      </c>
    </row>
    <row r="57" spans="2:8" ht="13.5" customHeight="1" x14ac:dyDescent="0.25">
      <c r="B57" s="30"/>
      <c r="C57" s="30"/>
      <c r="D57" s="30"/>
      <c r="E57" s="30"/>
      <c r="F57" s="30"/>
      <c r="G57" s="30"/>
      <c r="H57" s="7">
        <f t="shared" si="0"/>
        <v>0</v>
      </c>
    </row>
    <row r="58" spans="2:8" ht="13.5" customHeight="1" x14ac:dyDescent="0.25">
      <c r="B58" s="36"/>
      <c r="C58" s="36"/>
      <c r="D58" s="36"/>
      <c r="E58" s="36"/>
      <c r="F58" s="36"/>
      <c r="G58" s="36"/>
      <c r="H58" s="35">
        <f t="shared" si="0"/>
        <v>0</v>
      </c>
    </row>
    <row r="59" spans="2:8" ht="13.5" customHeight="1" x14ac:dyDescent="0.25">
      <c r="B59" s="30"/>
      <c r="C59" s="30"/>
      <c r="D59" s="30"/>
      <c r="E59" s="30"/>
      <c r="F59" s="30"/>
      <c r="G59" s="30"/>
      <c r="H59" s="7">
        <f t="shared" si="0"/>
        <v>0</v>
      </c>
    </row>
    <row r="60" spans="2:8" ht="13.5" customHeight="1" x14ac:dyDescent="0.25">
      <c r="B60" s="36"/>
      <c r="C60" s="36"/>
      <c r="D60" s="36"/>
      <c r="E60" s="36"/>
      <c r="F60" s="36"/>
      <c r="G60" s="36"/>
      <c r="H60" s="35">
        <f t="shared" si="0"/>
        <v>0</v>
      </c>
    </row>
    <row r="61" spans="2:8" ht="13.5" customHeight="1" x14ac:dyDescent="0.25">
      <c r="B61" s="30"/>
      <c r="C61" s="30"/>
      <c r="D61" s="30"/>
      <c r="E61" s="30"/>
      <c r="F61" s="30"/>
      <c r="G61" s="30"/>
      <c r="H61" s="7">
        <f t="shared" si="0"/>
        <v>0</v>
      </c>
    </row>
    <row r="62" spans="2:8" ht="13.5" customHeight="1" x14ac:dyDescent="0.25">
      <c r="B62" s="36"/>
      <c r="C62" s="36"/>
      <c r="D62" s="36"/>
      <c r="E62" s="36"/>
      <c r="F62" s="36"/>
      <c r="G62" s="36"/>
      <c r="H62" s="35">
        <f t="shared" si="0"/>
        <v>0</v>
      </c>
    </row>
    <row r="63" spans="2:8" ht="13.5" customHeight="1" x14ac:dyDescent="0.25">
      <c r="B63" s="30"/>
      <c r="C63" s="30"/>
      <c r="D63" s="30"/>
      <c r="E63" s="30"/>
      <c r="F63" s="30"/>
      <c r="G63" s="30"/>
      <c r="H63" s="7">
        <f t="shared" si="0"/>
        <v>0</v>
      </c>
    </row>
    <row r="64" spans="2:8" ht="13.5" customHeight="1" x14ac:dyDescent="0.25">
      <c r="B64" s="36"/>
      <c r="C64" s="36"/>
      <c r="D64" s="36"/>
      <c r="E64" s="36"/>
      <c r="F64" s="36"/>
      <c r="G64" s="36"/>
      <c r="H64" s="35">
        <f t="shared" si="0"/>
        <v>0</v>
      </c>
    </row>
    <row r="65" spans="2:8" ht="13.5" customHeight="1" x14ac:dyDescent="0.25">
      <c r="B65" s="30"/>
      <c r="C65" s="30"/>
      <c r="D65" s="30"/>
      <c r="E65" s="30"/>
      <c r="F65" s="30"/>
      <c r="G65" s="30"/>
      <c r="H65" s="7">
        <f t="shared" si="0"/>
        <v>0</v>
      </c>
    </row>
    <row r="66" spans="2:8" ht="13.5" customHeight="1" x14ac:dyDescent="0.25">
      <c r="B66" s="36"/>
      <c r="C66" s="36"/>
      <c r="D66" s="36"/>
      <c r="E66" s="36"/>
      <c r="F66" s="36"/>
      <c r="G66" s="36"/>
      <c r="H66" s="35">
        <f t="shared" si="0"/>
        <v>0</v>
      </c>
    </row>
    <row r="67" spans="2:8" ht="13.5" customHeight="1" x14ac:dyDescent="0.25">
      <c r="B67" s="30"/>
      <c r="C67" s="30"/>
      <c r="D67" s="30"/>
      <c r="E67" s="30"/>
      <c r="F67" s="30"/>
      <c r="G67" s="30"/>
      <c r="H67" s="7">
        <f t="shared" si="0"/>
        <v>0</v>
      </c>
    </row>
    <row r="68" spans="2:8" ht="13.5" customHeight="1" x14ac:dyDescent="0.25">
      <c r="B68" s="36"/>
      <c r="C68" s="36"/>
      <c r="D68" s="36"/>
      <c r="E68" s="36"/>
      <c r="F68" s="36"/>
      <c r="G68" s="36"/>
      <c r="H68" s="35">
        <f t="shared" si="0"/>
        <v>0</v>
      </c>
    </row>
    <row r="69" spans="2:8" ht="13.5" customHeight="1" x14ac:dyDescent="0.25">
      <c r="B69" s="30"/>
      <c r="C69" s="30"/>
      <c r="D69" s="30"/>
      <c r="E69" s="30"/>
      <c r="F69" s="30"/>
      <c r="G69" s="30"/>
      <c r="H69" s="7">
        <f t="shared" si="0"/>
        <v>0</v>
      </c>
    </row>
    <row r="70" spans="2:8" ht="13.5" customHeight="1" x14ac:dyDescent="0.25">
      <c r="B70" s="36"/>
      <c r="C70" s="36"/>
      <c r="D70" s="36"/>
      <c r="E70" s="36"/>
      <c r="F70" s="36"/>
      <c r="G70" s="36"/>
      <c r="H70" s="35">
        <f t="shared" si="0"/>
        <v>0</v>
      </c>
    </row>
    <row r="71" spans="2:8" ht="13.5" customHeight="1" x14ac:dyDescent="0.25">
      <c r="B71" s="30"/>
      <c r="C71" s="30"/>
      <c r="D71" s="30"/>
      <c r="E71" s="30"/>
      <c r="F71" s="30"/>
      <c r="G71" s="30"/>
      <c r="H71" s="7">
        <f t="shared" si="0"/>
        <v>0</v>
      </c>
    </row>
    <row r="72" spans="2:8" ht="13.5" customHeight="1" x14ac:dyDescent="0.25">
      <c r="B72" s="36"/>
      <c r="C72" s="36"/>
      <c r="D72" s="36"/>
      <c r="E72" s="36"/>
      <c r="F72" s="36"/>
      <c r="G72" s="36"/>
      <c r="H72" s="35">
        <f t="shared" ref="H72:H103" si="1">IF(AND(F72&lt;&gt;"",G72&lt;&gt;""),F72*G72,0)</f>
        <v>0</v>
      </c>
    </row>
    <row r="73" spans="2:8" ht="13.5" customHeight="1" x14ac:dyDescent="0.25">
      <c r="B73" s="30"/>
      <c r="C73" s="30"/>
      <c r="D73" s="30"/>
      <c r="E73" s="30"/>
      <c r="F73" s="30"/>
      <c r="G73" s="30"/>
      <c r="H73" s="7">
        <f t="shared" si="1"/>
        <v>0</v>
      </c>
    </row>
    <row r="74" spans="2:8" ht="13.5" customHeight="1" x14ac:dyDescent="0.25">
      <c r="B74" s="36"/>
      <c r="C74" s="36"/>
      <c r="D74" s="36"/>
      <c r="E74" s="36"/>
      <c r="F74" s="36"/>
      <c r="G74" s="36"/>
      <c r="H74" s="35">
        <f t="shared" si="1"/>
        <v>0</v>
      </c>
    </row>
    <row r="75" spans="2:8" ht="13.5" customHeight="1" x14ac:dyDescent="0.25">
      <c r="B75" s="30"/>
      <c r="C75" s="30"/>
      <c r="D75" s="30"/>
      <c r="E75" s="30"/>
      <c r="F75" s="30"/>
      <c r="G75" s="30"/>
      <c r="H75" s="7">
        <f t="shared" si="1"/>
        <v>0</v>
      </c>
    </row>
    <row r="76" spans="2:8" ht="13.5" customHeight="1" x14ac:dyDescent="0.25">
      <c r="B76" s="36"/>
      <c r="C76" s="36"/>
      <c r="D76" s="36"/>
      <c r="E76" s="36"/>
      <c r="F76" s="36"/>
      <c r="G76" s="36"/>
      <c r="H76" s="35">
        <f t="shared" si="1"/>
        <v>0</v>
      </c>
    </row>
    <row r="77" spans="2:8" ht="13.5" customHeight="1" x14ac:dyDescent="0.25">
      <c r="B77" s="30"/>
      <c r="C77" s="30"/>
      <c r="D77" s="30"/>
      <c r="E77" s="30"/>
      <c r="F77" s="30"/>
      <c r="G77" s="30"/>
      <c r="H77" s="7">
        <f t="shared" si="1"/>
        <v>0</v>
      </c>
    </row>
    <row r="78" spans="2:8" ht="13.5" customHeight="1" x14ac:dyDescent="0.25">
      <c r="B78" s="36"/>
      <c r="C78" s="36"/>
      <c r="D78" s="36"/>
      <c r="E78" s="36"/>
      <c r="F78" s="36"/>
      <c r="G78" s="36"/>
      <c r="H78" s="35">
        <f t="shared" si="1"/>
        <v>0</v>
      </c>
    </row>
    <row r="79" spans="2:8" ht="13.5" customHeight="1" x14ac:dyDescent="0.25">
      <c r="B79" s="30"/>
      <c r="C79" s="30"/>
      <c r="D79" s="30"/>
      <c r="E79" s="30"/>
      <c r="F79" s="30"/>
      <c r="G79" s="30"/>
      <c r="H79" s="7">
        <f t="shared" si="1"/>
        <v>0</v>
      </c>
    </row>
    <row r="80" spans="2:8" ht="13.5" customHeight="1" x14ac:dyDescent="0.25">
      <c r="B80" s="36"/>
      <c r="C80" s="36"/>
      <c r="D80" s="36"/>
      <c r="E80" s="36"/>
      <c r="F80" s="36"/>
      <c r="G80" s="36"/>
      <c r="H80" s="35">
        <f t="shared" si="1"/>
        <v>0</v>
      </c>
    </row>
    <row r="81" spans="2:8" ht="13.5" customHeight="1" x14ac:dyDescent="0.25">
      <c r="B81" s="30"/>
      <c r="C81" s="30"/>
      <c r="D81" s="30"/>
      <c r="E81" s="30"/>
      <c r="F81" s="30"/>
      <c r="G81" s="30"/>
      <c r="H81" s="7">
        <f t="shared" si="1"/>
        <v>0</v>
      </c>
    </row>
    <row r="82" spans="2:8" ht="13.5" customHeight="1" x14ac:dyDescent="0.25">
      <c r="B82" s="36"/>
      <c r="C82" s="36"/>
      <c r="D82" s="36"/>
      <c r="E82" s="36"/>
      <c r="F82" s="36"/>
      <c r="G82" s="36"/>
      <c r="H82" s="35">
        <f t="shared" si="1"/>
        <v>0</v>
      </c>
    </row>
    <row r="83" spans="2:8" ht="13.5" customHeight="1" x14ac:dyDescent="0.25">
      <c r="B83" s="30"/>
      <c r="C83" s="30"/>
      <c r="D83" s="30"/>
      <c r="E83" s="30"/>
      <c r="F83" s="30"/>
      <c r="G83" s="30"/>
      <c r="H83" s="7">
        <f t="shared" si="1"/>
        <v>0</v>
      </c>
    </row>
    <row r="84" spans="2:8" ht="13.5" customHeight="1" x14ac:dyDescent="0.25">
      <c r="B84" s="36"/>
      <c r="C84" s="36"/>
      <c r="D84" s="36"/>
      <c r="E84" s="36"/>
      <c r="F84" s="36"/>
      <c r="G84" s="36"/>
      <c r="H84" s="35">
        <f t="shared" si="1"/>
        <v>0</v>
      </c>
    </row>
    <row r="85" spans="2:8" ht="13.5" customHeight="1" x14ac:dyDescent="0.25">
      <c r="B85" s="30"/>
      <c r="C85" s="30"/>
      <c r="D85" s="30"/>
      <c r="E85" s="30"/>
      <c r="F85" s="30"/>
      <c r="G85" s="30"/>
      <c r="H85" s="7">
        <f t="shared" si="1"/>
        <v>0</v>
      </c>
    </row>
    <row r="86" spans="2:8" ht="13.5" customHeight="1" x14ac:dyDescent="0.25">
      <c r="B86" s="36"/>
      <c r="C86" s="36"/>
      <c r="D86" s="36"/>
      <c r="E86" s="36"/>
      <c r="F86" s="36"/>
      <c r="G86" s="36"/>
      <c r="H86" s="35">
        <f t="shared" si="1"/>
        <v>0</v>
      </c>
    </row>
    <row r="87" spans="2:8" ht="13.5" customHeight="1" x14ac:dyDescent="0.25">
      <c r="B87" s="30"/>
      <c r="C87" s="30"/>
      <c r="D87" s="30"/>
      <c r="E87" s="30"/>
      <c r="F87" s="30"/>
      <c r="G87" s="30"/>
      <c r="H87" s="7">
        <f t="shared" si="1"/>
        <v>0</v>
      </c>
    </row>
    <row r="88" spans="2:8" ht="13.5" customHeight="1" x14ac:dyDescent="0.25">
      <c r="B88" s="36"/>
      <c r="C88" s="36"/>
      <c r="D88" s="36"/>
      <c r="E88" s="36"/>
      <c r="F88" s="36"/>
      <c r="G88" s="36"/>
      <c r="H88" s="35">
        <f t="shared" si="1"/>
        <v>0</v>
      </c>
    </row>
    <row r="89" spans="2:8" ht="13.5" customHeight="1" x14ac:dyDescent="0.25">
      <c r="B89" s="30"/>
      <c r="C89" s="30"/>
      <c r="D89" s="30"/>
      <c r="E89" s="30"/>
      <c r="F89" s="30"/>
      <c r="G89" s="30"/>
      <c r="H89" s="7">
        <f t="shared" si="1"/>
        <v>0</v>
      </c>
    </row>
    <row r="90" spans="2:8" ht="13.5" customHeight="1" x14ac:dyDescent="0.25">
      <c r="B90" s="36"/>
      <c r="C90" s="36"/>
      <c r="D90" s="36"/>
      <c r="E90" s="36"/>
      <c r="F90" s="36"/>
      <c r="G90" s="36"/>
      <c r="H90" s="35">
        <f t="shared" si="1"/>
        <v>0</v>
      </c>
    </row>
    <row r="91" spans="2:8" ht="13.5" customHeight="1" x14ac:dyDescent="0.25">
      <c r="B91" s="30"/>
      <c r="C91" s="30"/>
      <c r="D91" s="30"/>
      <c r="E91" s="30"/>
      <c r="F91" s="30"/>
      <c r="G91" s="30"/>
      <c r="H91" s="7">
        <f t="shared" si="1"/>
        <v>0</v>
      </c>
    </row>
    <row r="92" spans="2:8" ht="13.5" customHeight="1" x14ac:dyDescent="0.25">
      <c r="B92" s="36"/>
      <c r="C92" s="36"/>
      <c r="D92" s="36"/>
      <c r="E92" s="36"/>
      <c r="F92" s="36"/>
      <c r="G92" s="36"/>
      <c r="H92" s="35">
        <f t="shared" si="1"/>
        <v>0</v>
      </c>
    </row>
    <row r="93" spans="2:8" ht="13.5" customHeight="1" x14ac:dyDescent="0.25">
      <c r="B93" s="30"/>
      <c r="C93" s="30"/>
      <c r="D93" s="30"/>
      <c r="E93" s="30"/>
      <c r="F93" s="30"/>
      <c r="G93" s="30"/>
      <c r="H93" s="7">
        <f t="shared" si="1"/>
        <v>0</v>
      </c>
    </row>
    <row r="94" spans="2:8" ht="13.5" customHeight="1" x14ac:dyDescent="0.25">
      <c r="B94" s="36"/>
      <c r="C94" s="36"/>
      <c r="D94" s="36"/>
      <c r="E94" s="36"/>
      <c r="F94" s="36"/>
      <c r="G94" s="36"/>
      <c r="H94" s="35">
        <f t="shared" si="1"/>
        <v>0</v>
      </c>
    </row>
    <row r="95" spans="2:8" ht="13.5" customHeight="1" x14ac:dyDescent="0.25">
      <c r="B95" s="30"/>
      <c r="C95" s="30"/>
      <c r="D95" s="30"/>
      <c r="E95" s="30"/>
      <c r="F95" s="30"/>
      <c r="G95" s="30"/>
      <c r="H95" s="7">
        <f t="shared" si="1"/>
        <v>0</v>
      </c>
    </row>
    <row r="96" spans="2:8" ht="13.5" customHeight="1" x14ac:dyDescent="0.25">
      <c r="B96" s="36"/>
      <c r="C96" s="36"/>
      <c r="D96" s="36"/>
      <c r="E96" s="36"/>
      <c r="F96" s="36"/>
      <c r="G96" s="36"/>
      <c r="H96" s="35">
        <f t="shared" si="1"/>
        <v>0</v>
      </c>
    </row>
    <row r="97" spans="2:8" ht="13.5" customHeight="1" x14ac:dyDescent="0.25">
      <c r="B97" s="30"/>
      <c r="C97" s="30"/>
      <c r="D97" s="30"/>
      <c r="E97" s="30"/>
      <c r="F97" s="30"/>
      <c r="G97" s="30"/>
      <c r="H97" s="7">
        <f t="shared" si="1"/>
        <v>0</v>
      </c>
    </row>
    <row r="98" spans="2:8" ht="13.5" customHeight="1" x14ac:dyDescent="0.25">
      <c r="B98" s="36"/>
      <c r="C98" s="36"/>
      <c r="D98" s="36"/>
      <c r="E98" s="36"/>
      <c r="F98" s="36"/>
      <c r="G98" s="36"/>
      <c r="H98" s="35">
        <f t="shared" si="1"/>
        <v>0</v>
      </c>
    </row>
    <row r="99" spans="2:8" ht="13.5" customHeight="1" x14ac:dyDescent="0.25">
      <c r="B99" s="30"/>
      <c r="C99" s="30"/>
      <c r="D99" s="30"/>
      <c r="E99" s="30"/>
      <c r="F99" s="30"/>
      <c r="G99" s="30"/>
      <c r="H99" s="7">
        <f t="shared" si="1"/>
        <v>0</v>
      </c>
    </row>
  </sheetData>
  <mergeCells count="2">
    <mergeCell ref="B1:H1"/>
    <mergeCell ref="B2:H2"/>
  </mergeCells>
  <dataValidations count="1">
    <dataValidation type="list" allowBlank="1" sqref="C4:C99" xr:uid="{00000000-0002-0000-0600-000000000000}">
      <formula1>"Janeiro,Fevereiro,Março,Abril,Maio,Junho,Julho,Agosto,Setembro,Outubro,Novembro,Dezembro"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0B6BC"/>
    <pageSetUpPr fitToPage="1"/>
  </sheetPr>
  <dimension ref="A1:N84"/>
  <sheetViews>
    <sheetView showGridLines="0" workbookViewId="0"/>
  </sheetViews>
  <sheetFormatPr defaultRowHeight="15" x14ac:dyDescent="0.25"/>
  <cols>
    <col min="1" max="2" width="16" customWidth="1"/>
    <col min="4" max="4" width="26" customWidth="1"/>
    <col min="5" max="5" width="10" customWidth="1"/>
    <col min="7" max="7" width="26" customWidth="1"/>
    <col min="8" max="8" width="8" customWidth="1"/>
  </cols>
  <sheetData>
    <row r="1" spans="1:8" x14ac:dyDescent="0.25">
      <c r="A1" s="37" t="s">
        <v>215</v>
      </c>
    </row>
    <row r="3" spans="1:8" x14ac:dyDescent="0.25">
      <c r="A3" s="38" t="s">
        <v>20</v>
      </c>
      <c r="B3" s="38" t="s">
        <v>216</v>
      </c>
      <c r="D3" s="38" t="s">
        <v>217</v>
      </c>
      <c r="E3" s="38" t="s">
        <v>218</v>
      </c>
      <c r="G3" s="38" t="s">
        <v>22</v>
      </c>
      <c r="H3" s="38" t="s">
        <v>11</v>
      </c>
    </row>
    <row r="4" spans="1:8" x14ac:dyDescent="0.25">
      <c r="A4" s="39" t="s">
        <v>1</v>
      </c>
      <c r="B4" s="40">
        <f>SUMIF(Pedidos_DB!$C$4:$C$110,A4,Pedidos_DB!$G$4:$G$110)</f>
        <v>3550.8999999999996</v>
      </c>
      <c r="D4" s="39" t="str">
        <f>Estoque!C9</f>
        <v>Shampoo Antiqueda</v>
      </c>
      <c r="E4" s="39">
        <f>Estoque!F9*1000+(66-10)</f>
        <v>30056</v>
      </c>
      <c r="G4" s="39" t="str">
        <f>INDEX($D$4:$D$60,MATCH(LARGE($E$4:$E$60,1),$E$4:$E$60,0))</f>
        <v>Óleo de Argan</v>
      </c>
      <c r="H4" s="39">
        <f>ROUNDDOWN(LARGE($E$4:$E$60,1)/1000,0)</f>
        <v>77</v>
      </c>
    </row>
    <row r="5" spans="1:8" x14ac:dyDescent="0.25">
      <c r="A5" s="39" t="s">
        <v>31</v>
      </c>
      <c r="B5" s="40">
        <f>SUMIF(Pedidos_DB!$C$4:$C$110,A5,Pedidos_DB!$G$4:$G$110)</f>
        <v>8328.2000000000007</v>
      </c>
      <c r="D5" s="39" t="str">
        <f>Estoque!C10</f>
        <v>Shampoo Detox</v>
      </c>
      <c r="E5" s="39">
        <f>Estoque!F10*1000+(66-11)</f>
        <v>35055</v>
      </c>
      <c r="G5" s="39" t="str">
        <f>INDEX($D$4:$D$60,MATCH(LARGE($E$4:$E$60,2),$E$4:$E$60,0))</f>
        <v>Leave-in Hidratante</v>
      </c>
      <c r="H5" s="39">
        <f>ROUNDDOWN(LARGE($E$4:$E$60,2)/1000,0)</f>
        <v>75</v>
      </c>
    </row>
    <row r="6" spans="1:8" x14ac:dyDescent="0.25">
      <c r="A6" s="39" t="s">
        <v>173</v>
      </c>
      <c r="B6" s="40">
        <f>SUMIF(Pedidos_DB!$C$4:$C$110,A6,Pedidos_DB!$G$4:$G$110)</f>
        <v>6187.3</v>
      </c>
      <c r="D6" s="39" t="str">
        <f>Estoque!C11</f>
        <v>Shampoo Antirresíduos</v>
      </c>
      <c r="E6" s="39">
        <f>Estoque!F11*1000+(66-12)</f>
        <v>45054</v>
      </c>
      <c r="G6" s="39" t="str">
        <f>INDEX($D$4:$D$60,MATCH(LARGE($E$4:$E$60,3),$E$4:$E$60,0))</f>
        <v>Creme de Pentear Modelador de Cachos</v>
      </c>
      <c r="H6" s="39">
        <f>ROUNDDOWN(LARGE($E$4:$E$60,3)/1000,0)</f>
        <v>57</v>
      </c>
    </row>
    <row r="7" spans="1:8" x14ac:dyDescent="0.25">
      <c r="A7" s="39" t="s">
        <v>219</v>
      </c>
      <c r="B7" s="40">
        <f>SUMIF(Pedidos_DB!$C$4:$C$110,A7,Pedidos_DB!$G$4:$G$110)</f>
        <v>0</v>
      </c>
      <c r="D7" s="39" t="str">
        <f>Estoque!C12</f>
        <v>Shampoo Reparador</v>
      </c>
      <c r="E7" s="39">
        <f>Estoque!F12*1000+(66-13)</f>
        <v>32053</v>
      </c>
      <c r="G7" s="39" t="str">
        <f>INDEX($D$4:$D$60,MATCH(LARGE($E$4:$E$60,4),$E$4:$E$60,0))</f>
        <v>Condicionador Nutritivo</v>
      </c>
      <c r="H7" s="39">
        <f>ROUNDDOWN(LARGE($E$4:$E$60,4)/1000,0)</f>
        <v>56</v>
      </c>
    </row>
    <row r="8" spans="1:8" x14ac:dyDescent="0.25">
      <c r="D8" s="39" t="str">
        <f>Estoque!C13</f>
        <v>Shampoo Hidratante</v>
      </c>
      <c r="E8" s="39">
        <f>Estoque!F13*1000+(66-14)</f>
        <v>25052</v>
      </c>
      <c r="G8" s="39" t="str">
        <f>INDEX($D$4:$D$60,MATCH(LARGE($E$4:$E$60,5),$E$4:$E$60,0))</f>
        <v>Máscara Hidratante de Coco</v>
      </c>
      <c r="H8" s="39">
        <f>ROUNDDOWN(LARGE($E$4:$E$60,5)/1000,0)</f>
        <v>55</v>
      </c>
    </row>
    <row r="9" spans="1:8" x14ac:dyDescent="0.25">
      <c r="D9" s="39" t="str">
        <f>Estoque!C14</f>
        <v>Shampoo Revitalizante</v>
      </c>
      <c r="E9" s="39">
        <f>Estoque!F14*1000+(66-15)</f>
        <v>20051</v>
      </c>
      <c r="G9" s="39" t="str">
        <f>INDEX($D$4:$D$60,MATCH(LARGE($E$4:$E$60,6),$E$4:$E$60,0))</f>
        <v>Ampola de Fortalecimento</v>
      </c>
      <c r="H9" s="39">
        <f>ROUNDDOWN(LARGE($E$4:$E$60,6)/1000,0)</f>
        <v>52</v>
      </c>
    </row>
    <row r="10" spans="1:8" x14ac:dyDescent="0.25">
      <c r="D10" s="39" t="str">
        <f>Estoque!C15</f>
        <v>Shampoo Anti-frizz</v>
      </c>
      <c r="E10" s="39">
        <f>Estoque!F15*1000+(66-16)</f>
        <v>15050</v>
      </c>
      <c r="G10" s="39" t="str">
        <f>INDEX($D$4:$D$60,MATCH(LARGE($E$4:$E$60,7),$E$4:$E$60,0))</f>
        <v>Óleo de Rícino</v>
      </c>
      <c r="H10" s="39">
        <f>ROUNDDOWN(LARGE($E$4:$E$60,7)/1000,0)</f>
        <v>50</v>
      </c>
    </row>
    <row r="11" spans="1:8" x14ac:dyDescent="0.25">
      <c r="D11" s="39" t="str">
        <f>Estoque!C16</f>
        <v>Shampoo para Cabelos Cacheados</v>
      </c>
      <c r="E11" s="39">
        <f>Estoque!F16*1000+(66-17)</f>
        <v>20049</v>
      </c>
      <c r="G11" s="39" t="str">
        <f>INDEX($D$4:$D$60,MATCH(LARGE($E$4:$E$60,8),$E$4:$E$60,0))</f>
        <v>Leave-in para Cabelos Cacheados</v>
      </c>
      <c r="H11" s="39">
        <f>ROUNDDOWN(LARGE($E$4:$E$60,8)/1000,0)</f>
        <v>50</v>
      </c>
    </row>
    <row r="12" spans="1:8" x14ac:dyDescent="0.25">
      <c r="D12" s="39" t="str">
        <f>Estoque!C17</f>
        <v>Condicionador Nutritivo</v>
      </c>
      <c r="E12" s="39">
        <f>Estoque!F17*1000+(66-18)</f>
        <v>56048</v>
      </c>
      <c r="G12" s="39" t="str">
        <f>INDEX($D$4:$D$60,MATCH(LARGE($E$4:$E$60,9),$E$4:$E$60,0))</f>
        <v>Shampoo Antirresíduos</v>
      </c>
      <c r="H12" s="39">
        <f>ROUNDDOWN(LARGE($E$4:$E$60,9)/1000,0)</f>
        <v>45</v>
      </c>
    </row>
    <row r="13" spans="1:8" x14ac:dyDescent="0.25">
      <c r="D13" s="39" t="str">
        <f>Estoque!C18</f>
        <v>Condicionador Revitalizante</v>
      </c>
      <c r="E13" s="39">
        <f>Estoque!F18*1000+(66-19)</f>
        <v>35047</v>
      </c>
      <c r="G13" s="39" t="str">
        <f>INDEX($D$4:$D$60,MATCH(LARGE($E$4:$E$60,10),$E$4:$E$60,0))</f>
        <v>Ampola de Reparação</v>
      </c>
      <c r="H13" s="39">
        <f>ROUNDDOWN(LARGE($E$4:$E$60,10)/1000,0)</f>
        <v>45</v>
      </c>
    </row>
    <row r="14" spans="1:8" x14ac:dyDescent="0.25">
      <c r="D14" s="39" t="str">
        <f>Estoque!C19</f>
        <v>Condicionador Hidratante</v>
      </c>
      <c r="E14" s="39">
        <f>Estoque!F19*1000+(66-20)</f>
        <v>28046</v>
      </c>
      <c r="G14" s="39" t="str">
        <f>INDEX($D$4:$D$60,MATCH(LARGE($E$4:$E$60,11),$E$4:$E$60,0))</f>
        <v>Leave-in Nutritivo</v>
      </c>
      <c r="H14" s="39">
        <f>ROUNDDOWN(LARGE($E$4:$E$60,11)/1000,0)</f>
        <v>40</v>
      </c>
    </row>
    <row r="15" spans="1:8" x14ac:dyDescent="0.25">
      <c r="D15" s="39" t="str">
        <f>Estoque!C20</f>
        <v>Condicionador Antifrizz</v>
      </c>
      <c r="E15" s="39">
        <f>Estoque!F20*1000+(66-21)</f>
        <v>20045</v>
      </c>
      <c r="G15" s="39" t="str">
        <f>INDEX($D$4:$D$60,MATCH(LARGE($E$4:$E$60,12),$E$4:$E$60,0))</f>
        <v>Creme de Pentear Antifrizz</v>
      </c>
      <c r="H15" s="39">
        <f>ROUNDDOWN(LARGE($E$4:$E$60,12)/1000,0)</f>
        <v>40</v>
      </c>
    </row>
    <row r="16" spans="1:8" x14ac:dyDescent="0.25">
      <c r="D16" s="39" t="str">
        <f>Estoque!C21</f>
        <v>Condicionador Reestruturante</v>
      </c>
      <c r="E16" s="39">
        <f>Estoque!F21*1000+(66-22)</f>
        <v>15044</v>
      </c>
    </row>
    <row r="17" spans="4:5" x14ac:dyDescent="0.25">
      <c r="D17" s="39" t="str">
        <f>Estoque!C22</f>
        <v>Condicionador de Cabelos Cacheados</v>
      </c>
      <c r="E17" s="39">
        <f>Estoque!F22*1000+(66-23)</f>
        <v>15043</v>
      </c>
    </row>
    <row r="18" spans="4:5" x14ac:dyDescent="0.25">
      <c r="D18" s="39" t="str">
        <f>Estoque!C23</f>
        <v>Condicionador Reconstrutor</v>
      </c>
      <c r="E18" s="39">
        <f>Estoque!F23*1000+(66-24)</f>
        <v>20042</v>
      </c>
    </row>
    <row r="19" spans="4:5" x14ac:dyDescent="0.25">
      <c r="D19" s="39" t="str">
        <f>Estoque!C24</f>
        <v>Ampola de Reparação</v>
      </c>
      <c r="E19" s="39">
        <f>Estoque!F24*1000+(66-25)</f>
        <v>45041</v>
      </c>
    </row>
    <row r="20" spans="4:5" x14ac:dyDescent="0.25">
      <c r="D20" s="39" t="str">
        <f>Estoque!C25</f>
        <v>Ampola de Reconstrução</v>
      </c>
      <c r="E20" s="39">
        <f>Estoque!F25*1000+(66-26)</f>
        <v>30040</v>
      </c>
    </row>
    <row r="21" spans="4:5" x14ac:dyDescent="0.25">
      <c r="D21" s="39" t="str">
        <f>Estoque!C26</f>
        <v>Ampola de Fortalecimento</v>
      </c>
      <c r="E21" s="39">
        <f>Estoque!F26*1000+(66-27)</f>
        <v>52039</v>
      </c>
    </row>
    <row r="22" spans="4:5" x14ac:dyDescent="0.25">
      <c r="D22" s="39" t="str">
        <f>Estoque!C27</f>
        <v>Ampola de Brilho</v>
      </c>
      <c r="E22" s="39">
        <f>Estoque!F27*1000+(66-28)</f>
        <v>30038</v>
      </c>
    </row>
    <row r="23" spans="4:5" x14ac:dyDescent="0.25">
      <c r="D23" s="39" t="str">
        <f>Estoque!C28</f>
        <v>Ampola de Hidratação Intensiva</v>
      </c>
      <c r="E23" s="39">
        <f>Estoque!F28*1000+(66-29)</f>
        <v>25037</v>
      </c>
    </row>
    <row r="24" spans="4:5" x14ac:dyDescent="0.25">
      <c r="D24" s="39" t="str">
        <f>Estoque!C29</f>
        <v>Ampola de Hidratação de Óleo de Argan</v>
      </c>
      <c r="E24" s="39">
        <f>Estoque!F29*1000+(66-30)</f>
        <v>15036</v>
      </c>
    </row>
    <row r="25" spans="4:5" x14ac:dyDescent="0.25">
      <c r="D25" s="39" t="str">
        <f>Estoque!C30</f>
        <v>Ampola de Reconstrução Capilar</v>
      </c>
      <c r="E25" s="39">
        <f>Estoque!F30*1000+(66-31)</f>
        <v>20035</v>
      </c>
    </row>
    <row r="26" spans="4:5" x14ac:dyDescent="0.25">
      <c r="D26" s="39" t="str">
        <f>Estoque!C31</f>
        <v>Ampola de Reparação Intensiva</v>
      </c>
      <c r="E26" s="39">
        <f>Estoque!F31*1000+(66-32)</f>
        <v>20034</v>
      </c>
    </row>
    <row r="27" spans="4:5" x14ac:dyDescent="0.25">
      <c r="D27" s="39" t="str">
        <f>Estoque!C32</f>
        <v>Ampola de Reparação Capilar</v>
      </c>
      <c r="E27" s="39">
        <f>Estoque!F32*1000+(66-33)</f>
        <v>10033</v>
      </c>
    </row>
    <row r="28" spans="4:5" x14ac:dyDescent="0.25">
      <c r="D28" s="39" t="str">
        <f>Estoque!C33</f>
        <v>Ampola de Fortalecimento Capilar</v>
      </c>
      <c r="E28" s="39">
        <f>Estoque!F33*1000+(66-34)</f>
        <v>15032</v>
      </c>
    </row>
    <row r="29" spans="4:5" x14ac:dyDescent="0.25">
      <c r="D29" s="39" t="str">
        <f>Estoque!C34</f>
        <v>Ampola Anticabelos</v>
      </c>
      <c r="E29" s="39">
        <f>Estoque!F34*1000+(66-35)</f>
        <v>10031</v>
      </c>
    </row>
    <row r="30" spans="4:5" x14ac:dyDescent="0.25">
      <c r="D30" s="39" t="str">
        <f>Estoque!C35</f>
        <v>Máscara de Hidratação</v>
      </c>
      <c r="E30" s="39">
        <f>Estoque!F35*1000+(66-36)</f>
        <v>15030</v>
      </c>
    </row>
    <row r="31" spans="4:5" x14ac:dyDescent="0.25">
      <c r="D31" s="39" t="str">
        <f>Estoque!C36</f>
        <v>Máscara Reconstrutora</v>
      </c>
      <c r="E31" s="39">
        <f>Estoque!F36*1000+(66-37)</f>
        <v>8029</v>
      </c>
    </row>
    <row r="32" spans="4:5" x14ac:dyDescent="0.25">
      <c r="D32" s="39" t="str">
        <f>Estoque!C37</f>
        <v>Máscara Reparadora de Pontas</v>
      </c>
      <c r="E32" s="39">
        <f>Estoque!F37*1000+(66-38)</f>
        <v>35028</v>
      </c>
    </row>
    <row r="33" spans="4:5" x14ac:dyDescent="0.25">
      <c r="D33" s="39" t="str">
        <f>Estoque!C38</f>
        <v>Máscara de Nutrição Profunda</v>
      </c>
      <c r="E33" s="39">
        <f>Estoque!F38*1000+(66-39)</f>
        <v>15027</v>
      </c>
    </row>
    <row r="34" spans="4:5" x14ac:dyDescent="0.25">
      <c r="D34" s="39" t="str">
        <f>Estoque!C39</f>
        <v>Máscara de Reconstrução</v>
      </c>
      <c r="E34" s="39">
        <f>Estoque!F39*1000+(66-40)</f>
        <v>20026</v>
      </c>
    </row>
    <row r="35" spans="4:5" x14ac:dyDescent="0.25">
      <c r="D35" s="39" t="str">
        <f>Estoque!C40</f>
        <v>Máscara Hidratante de Coco</v>
      </c>
      <c r="E35" s="39">
        <f>Estoque!F40*1000+(66-41)</f>
        <v>55025</v>
      </c>
    </row>
    <row r="36" spans="4:5" x14ac:dyDescent="0.25">
      <c r="D36" s="39" t="str">
        <f>Estoque!C41</f>
        <v>Máscara de Hidratação Intensa</v>
      </c>
      <c r="E36" s="39">
        <f>Estoque!F41*1000+(66-42)</f>
        <v>35024</v>
      </c>
    </row>
    <row r="37" spans="4:5" x14ac:dyDescent="0.25">
      <c r="D37" s="39" t="str">
        <f>Estoque!C42</f>
        <v>Máscara de Reconstrução Capilar</v>
      </c>
      <c r="E37" s="39">
        <f>Estoque!F42*1000+(66-43)</f>
        <v>15023</v>
      </c>
    </row>
    <row r="38" spans="4:5" x14ac:dyDescent="0.25">
      <c r="D38" s="39" t="str">
        <f>Estoque!C43</f>
        <v>Máscara Nutritiva</v>
      </c>
      <c r="E38" s="39">
        <f>Estoque!F43*1000+(66-44)</f>
        <v>20022</v>
      </c>
    </row>
    <row r="39" spans="4:5" x14ac:dyDescent="0.25">
      <c r="D39" s="39" t="str">
        <f>Estoque!C44</f>
        <v>Óleo de Argan</v>
      </c>
      <c r="E39" s="39">
        <f>Estoque!F44*1000+(66-45)</f>
        <v>77021</v>
      </c>
    </row>
    <row r="40" spans="4:5" x14ac:dyDescent="0.25">
      <c r="D40" s="39" t="str">
        <f>Estoque!C45</f>
        <v>Óleo de Rícino</v>
      </c>
      <c r="E40" s="39">
        <f>Estoque!F45*1000+(66-46)</f>
        <v>50020</v>
      </c>
    </row>
    <row r="41" spans="4:5" x14ac:dyDescent="0.25">
      <c r="D41" s="39" t="str">
        <f>Estoque!C46</f>
        <v>Óleo de Jojoba</v>
      </c>
      <c r="E41" s="39">
        <f>Estoque!F46*1000+(66-47)</f>
        <v>30019</v>
      </c>
    </row>
    <row r="42" spans="4:5" x14ac:dyDescent="0.25">
      <c r="D42" s="39" t="str">
        <f>Estoque!C47</f>
        <v>Óleo de Abacate</v>
      </c>
      <c r="E42" s="39">
        <f>Estoque!F47*1000+(66-48)</f>
        <v>30018</v>
      </c>
    </row>
    <row r="43" spans="4:5" x14ac:dyDescent="0.25">
      <c r="D43" s="39" t="str">
        <f>Estoque!C48</f>
        <v>Óleo de Macadâmia</v>
      </c>
      <c r="E43" s="39">
        <f>Estoque!F48*1000+(66-49)</f>
        <v>20017</v>
      </c>
    </row>
    <row r="44" spans="4:5" x14ac:dyDescent="0.25">
      <c r="D44" s="39" t="str">
        <f>Estoque!C49</f>
        <v>Óleo de Amêndoas</v>
      </c>
      <c r="E44" s="39">
        <f>Estoque!F49*1000+(66-50)</f>
        <v>15016</v>
      </c>
    </row>
    <row r="45" spans="4:5" x14ac:dyDescent="0.25">
      <c r="D45" s="39" t="str">
        <f>Estoque!C50</f>
        <v>Óleo Essencial de Lavanda</v>
      </c>
      <c r="E45" s="39">
        <f>Estoque!F50*1000+(66-51)</f>
        <v>20015</v>
      </c>
    </row>
    <row r="46" spans="4:5" x14ac:dyDescent="0.25">
      <c r="D46" s="39" t="str">
        <f>Estoque!C51</f>
        <v>Leave-in Nutritivo</v>
      </c>
      <c r="E46" s="39">
        <f>Estoque!F51*1000+(66-52)</f>
        <v>40014</v>
      </c>
    </row>
    <row r="47" spans="4:5" x14ac:dyDescent="0.25">
      <c r="D47" s="39" t="str">
        <f>Estoque!C52</f>
        <v>Leave-in para Cabelos Cacheados</v>
      </c>
      <c r="E47" s="39">
        <f>Estoque!F52*1000+(66-53)</f>
        <v>50013</v>
      </c>
    </row>
    <row r="48" spans="4:5" x14ac:dyDescent="0.25">
      <c r="D48" s="39" t="str">
        <f>Estoque!C53</f>
        <v>Leave-in Hidratante</v>
      </c>
      <c r="E48" s="39">
        <f>Estoque!F53*1000+(66-54)</f>
        <v>75012</v>
      </c>
    </row>
    <row r="49" spans="4:5" x14ac:dyDescent="0.25">
      <c r="D49" s="39" t="str">
        <f>Estoque!C54</f>
        <v>Leave-in Reparador</v>
      </c>
      <c r="E49" s="39">
        <f>Estoque!F54*1000+(66-55)</f>
        <v>25011</v>
      </c>
    </row>
    <row r="50" spans="4:5" x14ac:dyDescent="0.25">
      <c r="D50" s="39" t="str">
        <f>Estoque!C55</f>
        <v>Leave-in Antifriz</v>
      </c>
      <c r="E50" s="39">
        <f>Estoque!F55*1000+(66-56)</f>
        <v>25010</v>
      </c>
    </row>
    <row r="51" spans="4:5" x14ac:dyDescent="0.25">
      <c r="D51" s="39" t="str">
        <f>Estoque!C56</f>
        <v>Leave-in Com Proteção Térmica</v>
      </c>
      <c r="E51" s="39">
        <f>Estoque!F56*1000+(66-57)</f>
        <v>20009</v>
      </c>
    </row>
    <row r="52" spans="4:5" x14ac:dyDescent="0.25">
      <c r="D52" s="39" t="str">
        <f>Estoque!C57</f>
        <v>Leave-in Com Proteção UV</v>
      </c>
      <c r="E52" s="39">
        <f>Estoque!F57*1000+(66-58)</f>
        <v>20008</v>
      </c>
    </row>
    <row r="53" spans="4:5" x14ac:dyDescent="0.25">
      <c r="D53" s="39" t="str">
        <f>Estoque!C58</f>
        <v>Leave-in Defrizante</v>
      </c>
      <c r="E53" s="39">
        <f>Estoque!F58*1000+(66-59)</f>
        <v>20007</v>
      </c>
    </row>
    <row r="54" spans="4:5" x14ac:dyDescent="0.25">
      <c r="D54" s="39" t="str">
        <f>Estoque!C59</f>
        <v>Creme de Pentear Antifrizz</v>
      </c>
      <c r="E54" s="39">
        <f>Estoque!F59*1000+(66-60)</f>
        <v>40006</v>
      </c>
    </row>
    <row r="55" spans="4:5" x14ac:dyDescent="0.25">
      <c r="D55" s="39" t="str">
        <f>Estoque!C60</f>
        <v>Creme de Pentear Hidratante</v>
      </c>
      <c r="E55" s="39">
        <f>Estoque!F60*1000+(66-61)</f>
        <v>35005</v>
      </c>
    </row>
    <row r="56" spans="4:5" x14ac:dyDescent="0.25">
      <c r="D56" s="39" t="str">
        <f>Estoque!C61</f>
        <v>Creme de Pentear Modelador de Cachos</v>
      </c>
      <c r="E56" s="39">
        <f>Estoque!F61*1000+(66-62)</f>
        <v>57004</v>
      </c>
    </row>
    <row r="57" spans="4:5" x14ac:dyDescent="0.25">
      <c r="D57" s="39" t="str">
        <f>Estoque!C62</f>
        <v>Creme de Pentear Reparador</v>
      </c>
      <c r="E57" s="39">
        <f>Estoque!F62*1000+(66-63)</f>
        <v>30003</v>
      </c>
    </row>
    <row r="58" spans="4:5" x14ac:dyDescent="0.25">
      <c r="D58" s="39" t="str">
        <f>Estoque!C63</f>
        <v>Creme de Pentear Cabelos Cacheados</v>
      </c>
      <c r="E58" s="39">
        <f>Estoque!F63*1000+(66-64)</f>
        <v>25002</v>
      </c>
    </row>
    <row r="59" spans="4:5" x14ac:dyDescent="0.25">
      <c r="D59" s="39" t="str">
        <f>Estoque!C64</f>
        <v>Creme de Pentear Defrizante</v>
      </c>
      <c r="E59" s="39">
        <f>Estoque!F64*1000+(66-65)</f>
        <v>20001</v>
      </c>
    </row>
    <row r="60" spans="4:5" x14ac:dyDescent="0.25">
      <c r="D60" s="39" t="str">
        <f>Estoque!C65</f>
        <v>Creme de Pentear Anti-frizz</v>
      </c>
      <c r="E60" s="39">
        <f>Estoque!F65*1000+(66-66)</f>
        <v>20000</v>
      </c>
    </row>
    <row r="65" spans="2:14" x14ac:dyDescent="0.25">
      <c r="B65" s="77" t="s">
        <v>220</v>
      </c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61"/>
    </row>
    <row r="66" spans="2:14" x14ac:dyDescent="0.25">
      <c r="B66" s="79" t="s">
        <v>22</v>
      </c>
      <c r="C66" s="74"/>
      <c r="D66" s="74"/>
      <c r="E66" s="74"/>
      <c r="F66" s="72"/>
      <c r="G66" s="78" t="s">
        <v>9</v>
      </c>
      <c r="H66" s="72"/>
      <c r="I66" s="78" t="s">
        <v>55</v>
      </c>
      <c r="J66" s="72"/>
      <c r="K66" s="78" t="s">
        <v>56</v>
      </c>
      <c r="L66" s="72"/>
      <c r="M66" s="42" t="s">
        <v>57</v>
      </c>
      <c r="N66" s="43" t="s">
        <v>11</v>
      </c>
    </row>
    <row r="67" spans="2:14" x14ac:dyDescent="0.25">
      <c r="B67" s="73" t="s">
        <v>58</v>
      </c>
      <c r="C67" s="74"/>
      <c r="D67" s="74"/>
      <c r="E67" s="74"/>
      <c r="F67" s="72"/>
      <c r="G67" s="80">
        <f>SUMPRODUCT((Pedidos_DB!C4:C110=Dashboard!$E$3)*(Pedidos_DB!E4:E110=B67)*Pedidos_DB!G4:G110)</f>
        <v>283.5</v>
      </c>
      <c r="H67" s="72"/>
      <c r="I67" s="80">
        <f>SUMIFS(Despesas_DB!H4:H99,Despesas_DB!C4:C99,Dashboard!$E$3,Despesas_DB!E4:E99,B67)</f>
        <v>300</v>
      </c>
      <c r="J67" s="72"/>
      <c r="K67" s="85">
        <f t="shared" ref="K67:K75" si="0">G67-I67</f>
        <v>-16.5</v>
      </c>
      <c r="L67" s="72"/>
      <c r="M67" s="50">
        <f t="shared" ref="M67:M75" si="1">IFERROR(K67/G67,0)</f>
        <v>-5.8201058201058198E-2</v>
      </c>
      <c r="N67" s="51">
        <f>SUMPRODUCT((Pedidos_DB!C4:C110=Dashboard!$E$3)*(Pedidos_DB!E4:E110=B67)*Pedidos_DB!F4:F110)</f>
        <v>15</v>
      </c>
    </row>
    <row r="68" spans="2:14" x14ac:dyDescent="0.25">
      <c r="B68" s="76" t="s">
        <v>59</v>
      </c>
      <c r="C68" s="74"/>
      <c r="D68" s="74"/>
      <c r="E68" s="74"/>
      <c r="F68" s="72"/>
      <c r="G68" s="81">
        <f>SUMPRODUCT((Pedidos_DB!C4:C110=Dashboard!$E$3)*(Pedidos_DB!E4:E110=B68)*Pedidos_DB!G4:G110)</f>
        <v>356</v>
      </c>
      <c r="H68" s="72"/>
      <c r="I68" s="81">
        <f>SUMIFS(Despesas_DB!H4:H99,Despesas_DB!C4:C99,Dashboard!$E$3,Despesas_DB!E4:E99,B68)</f>
        <v>200</v>
      </c>
      <c r="J68" s="72"/>
      <c r="K68" s="71">
        <f t="shared" si="0"/>
        <v>156</v>
      </c>
      <c r="L68" s="72"/>
      <c r="M68" s="52">
        <f t="shared" si="1"/>
        <v>0.43820224719101125</v>
      </c>
      <c r="N68" s="53">
        <f>SUMPRODUCT((Pedidos_DB!C4:C110=Dashboard!$E$3)*(Pedidos_DB!E4:E110=B68)*Pedidos_DB!F4:F110)</f>
        <v>20</v>
      </c>
    </row>
    <row r="69" spans="2:14" x14ac:dyDescent="0.25">
      <c r="B69" s="73" t="s">
        <v>60</v>
      </c>
      <c r="C69" s="74"/>
      <c r="D69" s="74"/>
      <c r="E69" s="74"/>
      <c r="F69" s="72"/>
      <c r="G69" s="80">
        <f>SUMPRODUCT((Pedidos_DB!C4:C110=Dashboard!$E$3)*(Pedidos_DB!E4:E110=B69)*Pedidos_DB!G4:G110)</f>
        <v>125</v>
      </c>
      <c r="H69" s="72"/>
      <c r="I69" s="80">
        <f>SUMIFS(Despesas_DB!H4:H99,Despesas_DB!C4:C99,Dashboard!$E$3,Despesas_DB!E4:E99,B69)</f>
        <v>120</v>
      </c>
      <c r="J69" s="72"/>
      <c r="K69" s="85">
        <f t="shared" si="0"/>
        <v>5</v>
      </c>
      <c r="L69" s="72"/>
      <c r="M69" s="50">
        <f t="shared" si="1"/>
        <v>0.04</v>
      </c>
      <c r="N69" s="51">
        <f>SUMPRODUCT((Pedidos_DB!C4:C110=Dashboard!$E$3)*(Pedidos_DB!E4:E110=B69)*Pedidos_DB!F4:F110)</f>
        <v>10</v>
      </c>
    </row>
    <row r="70" spans="2:14" x14ac:dyDescent="0.25">
      <c r="B70" s="76" t="s">
        <v>61</v>
      </c>
      <c r="C70" s="74"/>
      <c r="D70" s="74"/>
      <c r="E70" s="74"/>
      <c r="F70" s="72"/>
      <c r="G70" s="81">
        <f>SUMPRODUCT((Pedidos_DB!C4:C110=Dashboard!$E$3)*(Pedidos_DB!E4:E110=B70)*Pedidos_DB!G4:G110)</f>
        <v>420</v>
      </c>
      <c r="H70" s="72"/>
      <c r="I70" s="81">
        <f>SUMIFS(Despesas_DB!H4:H99,Despesas_DB!C4:C99,Dashboard!$E$3,Despesas_DB!E4:E99,B70)</f>
        <v>250</v>
      </c>
      <c r="J70" s="72"/>
      <c r="K70" s="71">
        <f t="shared" si="0"/>
        <v>170</v>
      </c>
      <c r="L70" s="72"/>
      <c r="M70" s="52">
        <f t="shared" si="1"/>
        <v>0.40476190476190477</v>
      </c>
      <c r="N70" s="53">
        <f>SUMPRODUCT((Pedidos_DB!C4:C110=Dashboard!$E$3)*(Pedidos_DB!E4:E110=B70)*Pedidos_DB!F4:F110)</f>
        <v>12</v>
      </c>
    </row>
    <row r="71" spans="2:14" x14ac:dyDescent="0.25">
      <c r="B71" s="73" t="s">
        <v>62</v>
      </c>
      <c r="C71" s="74"/>
      <c r="D71" s="74"/>
      <c r="E71" s="74"/>
      <c r="F71" s="72"/>
      <c r="G71" s="80">
        <f>SUMPRODUCT((Pedidos_DB!C4:C110=Dashboard!$E$3)*(Pedidos_DB!E4:E110=B71)*Pedidos_DB!G4:G110)</f>
        <v>360</v>
      </c>
      <c r="H71" s="72"/>
      <c r="I71" s="80">
        <f>SUMIFS(Despesas_DB!H4:H99,Despesas_DB!C4:C99,Dashboard!$E$3,Despesas_DB!E4:E99,B71)</f>
        <v>216</v>
      </c>
      <c r="J71" s="72"/>
      <c r="K71" s="85">
        <f t="shared" si="0"/>
        <v>144</v>
      </c>
      <c r="L71" s="72"/>
      <c r="M71" s="50">
        <f t="shared" si="1"/>
        <v>0.4</v>
      </c>
      <c r="N71" s="51">
        <f>SUMPRODUCT((Pedidos_DB!C4:C110=Dashboard!$E$3)*(Pedidos_DB!E4:E110=B71)*Pedidos_DB!F4:F110)</f>
        <v>18</v>
      </c>
    </row>
    <row r="72" spans="2:14" x14ac:dyDescent="0.25">
      <c r="B72" s="76" t="s">
        <v>63</v>
      </c>
      <c r="C72" s="74"/>
      <c r="D72" s="74"/>
      <c r="E72" s="74"/>
      <c r="F72" s="72"/>
      <c r="G72" s="81">
        <f>SUMPRODUCT((Pedidos_DB!C4:C110=Dashboard!$E$3)*(Pedidos_DB!E4:E110=B72)*Pedidos_DB!G4:G110)</f>
        <v>273</v>
      </c>
      <c r="H72" s="72"/>
      <c r="I72" s="81">
        <f>SUMIFS(Despesas_DB!H4:H99,Despesas_DB!C4:C99,Dashboard!$E$3,Despesas_DB!E4:E99,B72)</f>
        <v>195</v>
      </c>
      <c r="J72" s="72"/>
      <c r="K72" s="71">
        <f t="shared" si="0"/>
        <v>78</v>
      </c>
      <c r="L72" s="72"/>
      <c r="M72" s="52">
        <f t="shared" si="1"/>
        <v>0.2857142857142857</v>
      </c>
      <c r="N72" s="53">
        <f>SUMPRODUCT((Pedidos_DB!C4:C110=Dashboard!$E$3)*(Pedidos_DB!E4:E110=B72)*Pedidos_DB!F4:F110)</f>
        <v>15</v>
      </c>
    </row>
    <row r="73" spans="2:14" x14ac:dyDescent="0.25">
      <c r="B73" s="73" t="s">
        <v>64</v>
      </c>
      <c r="C73" s="74"/>
      <c r="D73" s="74"/>
      <c r="E73" s="74"/>
      <c r="F73" s="72"/>
      <c r="G73" s="80">
        <f>SUMPRODUCT((Pedidos_DB!C4:C110=Dashboard!$E$3)*(Pedidos_DB!E4:E110=B73)*Pedidos_DB!G4:G110)</f>
        <v>398</v>
      </c>
      <c r="H73" s="72"/>
      <c r="I73" s="80">
        <f>SUMIFS(Despesas_DB!H4:H99,Despesas_DB!C4:C99,Dashboard!$E$3,Despesas_DB!E4:E99,B73)</f>
        <v>0</v>
      </c>
      <c r="J73" s="72"/>
      <c r="K73" s="85">
        <f t="shared" si="0"/>
        <v>398</v>
      </c>
      <c r="L73" s="72"/>
      <c r="M73" s="50">
        <f t="shared" si="1"/>
        <v>1</v>
      </c>
      <c r="N73" s="51">
        <f>SUMPRODUCT((Pedidos_DB!C4:C110=Dashboard!$E$3)*(Pedidos_DB!E4:E110=B73)*Pedidos_DB!F4:F110)</f>
        <v>20</v>
      </c>
    </row>
    <row r="74" spans="2:14" x14ac:dyDescent="0.25">
      <c r="B74" s="76" t="s">
        <v>65</v>
      </c>
      <c r="C74" s="74"/>
      <c r="D74" s="74"/>
      <c r="E74" s="74"/>
      <c r="F74" s="72"/>
      <c r="G74" s="81">
        <f>SUMPRODUCT((Pedidos_DB!C4:C110=Dashboard!$E$3)*(Pedidos_DB!E4:E110=B74)*Pedidos_DB!G4:G110)</f>
        <v>420</v>
      </c>
      <c r="H74" s="72"/>
      <c r="I74" s="81">
        <f>SUMIFS(Despesas_DB!H4:H99,Despesas_DB!C4:C99,Dashboard!$E$3,Despesas_DB!E4:E99,B74)</f>
        <v>300</v>
      </c>
      <c r="J74" s="72"/>
      <c r="K74" s="71">
        <f t="shared" si="0"/>
        <v>120</v>
      </c>
      <c r="L74" s="72"/>
      <c r="M74" s="52">
        <f t="shared" si="1"/>
        <v>0.2857142857142857</v>
      </c>
      <c r="N74" s="53">
        <f>SUMPRODUCT((Pedidos_DB!C4:C110=Dashboard!$E$3)*(Pedidos_DB!E4:E110=B74)*Pedidos_DB!F4:F110)</f>
        <v>10</v>
      </c>
    </row>
    <row r="75" spans="2:14" x14ac:dyDescent="0.25">
      <c r="B75" s="73" t="s">
        <v>66</v>
      </c>
      <c r="C75" s="74"/>
      <c r="D75" s="74"/>
      <c r="E75" s="74"/>
      <c r="F75" s="72"/>
      <c r="G75" s="80">
        <f>SUMPRODUCT((Pedidos_DB!C4:C110=Dashboard!$E$3)*(Pedidos_DB!E4:E110=B75)*Pedidos_DB!G4:G110)</f>
        <v>351</v>
      </c>
      <c r="H75" s="72"/>
      <c r="I75" s="80">
        <f>SUMIFS(Despesas_DB!H4:H99,Despesas_DB!C4:C99,Dashboard!$E$3,Despesas_DB!E4:E99,B75)</f>
        <v>210</v>
      </c>
      <c r="J75" s="72"/>
      <c r="K75" s="85">
        <f t="shared" si="0"/>
        <v>141</v>
      </c>
      <c r="L75" s="72"/>
      <c r="M75" s="50">
        <f t="shared" si="1"/>
        <v>0.40170940170940173</v>
      </c>
      <c r="N75" s="51">
        <f>SUMPRODUCT((Pedidos_DB!C4:C110=Dashboard!$E$3)*(Pedidos_DB!E4:E110=B75)*Pedidos_DB!F4:F110)</f>
        <v>15</v>
      </c>
    </row>
    <row r="78" spans="2:14" x14ac:dyDescent="0.25">
      <c r="B78" s="82" t="s">
        <v>221</v>
      </c>
      <c r="C78" s="59"/>
      <c r="D78" s="59"/>
      <c r="E78" s="59"/>
      <c r="F78" s="59"/>
      <c r="G78" s="59"/>
      <c r="H78" s="86" t="s">
        <v>222</v>
      </c>
      <c r="I78" s="59"/>
      <c r="J78" s="59"/>
      <c r="K78" s="59"/>
      <c r="L78" s="59"/>
      <c r="M78" s="59"/>
      <c r="N78" s="61"/>
    </row>
    <row r="79" spans="2:14" x14ac:dyDescent="0.25">
      <c r="B79" s="79" t="s">
        <v>8</v>
      </c>
      <c r="C79" s="74"/>
      <c r="D79" s="74"/>
      <c r="E79" s="72"/>
      <c r="F79" s="78" t="s">
        <v>216</v>
      </c>
      <c r="G79" s="72"/>
      <c r="H79" s="78" t="s">
        <v>10</v>
      </c>
      <c r="I79" s="74"/>
      <c r="J79" s="72"/>
      <c r="K79" s="42" t="s">
        <v>11</v>
      </c>
      <c r="L79" s="78" t="s">
        <v>223</v>
      </c>
      <c r="M79" s="72"/>
      <c r="N79" s="43" t="s">
        <v>42</v>
      </c>
    </row>
    <row r="80" spans="2:14" x14ac:dyDescent="0.25">
      <c r="B80" s="73" t="s">
        <v>25</v>
      </c>
      <c r="C80" s="74"/>
      <c r="D80" s="74"/>
      <c r="E80" s="72"/>
      <c r="F80" s="80">
        <f>SUMPRODUCT((Pedidos_DB!C4:C110=Dashboard!$E$3)*(Pedidos_DB!D4:D110=B80)*Pedidos_DB!G4:G110)</f>
        <v>545</v>
      </c>
      <c r="G80" s="72"/>
      <c r="H80" s="84" t="s">
        <v>7</v>
      </c>
      <c r="I80" s="74"/>
      <c r="J80" s="72"/>
      <c r="K80" s="44">
        <f>SUMPRODUCT((Pedidos_DB!C4:C110=Dashboard!$E$3)*(LOWER(Pedidos_DB!H4:H110)="concluído"))</f>
        <v>11</v>
      </c>
      <c r="L80" s="75">
        <f>IFERROR(SUMPRODUCT((Pedidos_DB!C4:C110=Dashboard!$E$3)*(LOWER(Pedidos_DB!H4:H110)="concluído")*Pedidos_DB!G4:G110)/K80,0)</f>
        <v>322.80909090909086</v>
      </c>
      <c r="M80" s="72"/>
      <c r="N80" s="45">
        <f>IFERROR(K80/Dashboard!D10,0)</f>
        <v>1</v>
      </c>
    </row>
    <row r="81" spans="2:14" x14ac:dyDescent="0.25">
      <c r="B81" s="76" t="s">
        <v>26</v>
      </c>
      <c r="C81" s="74"/>
      <c r="D81" s="74"/>
      <c r="E81" s="72"/>
      <c r="F81" s="81">
        <f>SUMPRODUCT((Pedidos_DB!C4:C110=Dashboard!$E$3)*(Pedidos_DB!D4:D110=B81)*Pedidos_DB!G4:G110)</f>
        <v>795.7</v>
      </c>
      <c r="G81" s="72"/>
      <c r="H81" s="83" t="s">
        <v>15</v>
      </c>
      <c r="I81" s="74"/>
      <c r="J81" s="72"/>
      <c r="K81" s="46">
        <f>SUMPRODUCT((Pedidos_DB!C4:C110=Dashboard!$E$3)*(LOWER(Pedidos_DB!H4:H110)="pendente"))</f>
        <v>0</v>
      </c>
      <c r="L81" s="87">
        <f>IFERROR(SUMPRODUCT((Pedidos_DB!C4:C110=Dashboard!$E$3)*(LOWER(Pedidos_DB!H4:H110)="pendente")*Pedidos_DB!G4:G110)/K81,0)</f>
        <v>0</v>
      </c>
      <c r="M81" s="72"/>
      <c r="N81" s="47">
        <f>IFERROR(K81/Dashboard!D10,0)</f>
        <v>0</v>
      </c>
    </row>
    <row r="82" spans="2:14" x14ac:dyDescent="0.25">
      <c r="B82" s="73" t="s">
        <v>27</v>
      </c>
      <c r="C82" s="74"/>
      <c r="D82" s="74"/>
      <c r="E82" s="72"/>
      <c r="F82" s="80">
        <f>SUMPRODUCT((Pedidos_DB!C4:C110=Dashboard!$E$3)*(Pedidos_DB!D4:D110=B82)*Pedidos_DB!G4:G110)</f>
        <v>685.2</v>
      </c>
      <c r="G82" s="72"/>
      <c r="H82" s="84" t="s">
        <v>17</v>
      </c>
      <c r="I82" s="74"/>
      <c r="J82" s="72"/>
      <c r="K82" s="48">
        <f>SUMPRODUCT((Pedidos_DB!C4:C110=Dashboard!$E$3)*(LOWER(Pedidos_DB!H4:H110)="processo"))</f>
        <v>0</v>
      </c>
      <c r="L82" s="75">
        <f>IFERROR(SUMPRODUCT((Pedidos_DB!C4:C110=Dashboard!$E$3)*(LOWER(Pedidos_DB!H4:H110)="processo")*Pedidos_DB!G4:G110)/K82,0)</f>
        <v>0</v>
      </c>
      <c r="M82" s="72"/>
      <c r="N82" s="49">
        <f>IFERROR(K82/Dashboard!D10,0)</f>
        <v>0</v>
      </c>
    </row>
    <row r="83" spans="2:14" x14ac:dyDescent="0.25">
      <c r="B83" s="76" t="s">
        <v>28</v>
      </c>
      <c r="C83" s="74"/>
      <c r="D83" s="74"/>
      <c r="E83" s="72"/>
      <c r="F83" s="81">
        <f>SUMPRODUCT((Pedidos_DB!C4:C110=Dashboard!$E$3)*(Pedidos_DB!D4:D110=B83)*Pedidos_DB!G4:G110)</f>
        <v>754</v>
      </c>
      <c r="G83" s="72"/>
      <c r="N83" s="41"/>
    </row>
    <row r="84" spans="2:14" x14ac:dyDescent="0.25">
      <c r="B84" s="73" t="s">
        <v>29</v>
      </c>
      <c r="C84" s="74"/>
      <c r="D84" s="74"/>
      <c r="E84" s="72"/>
      <c r="F84" s="80">
        <f>SUMPRODUCT((Pedidos_DB!C4:C110=Dashboard!$E$3)*(Pedidos_DB!D4:D110=B84)*Pedidos_DB!G4:G110)</f>
        <v>771</v>
      </c>
      <c r="G84" s="72"/>
      <c r="N84" s="41"/>
    </row>
  </sheetData>
  <mergeCells count="63">
    <mergeCell ref="K66:L66"/>
    <mergeCell ref="L80:M80"/>
    <mergeCell ref="G75:H75"/>
    <mergeCell ref="I69:J69"/>
    <mergeCell ref="K69:L69"/>
    <mergeCell ref="I74:J74"/>
    <mergeCell ref="G72:H72"/>
    <mergeCell ref="B84:E84"/>
    <mergeCell ref="K73:L73"/>
    <mergeCell ref="L81:M81"/>
    <mergeCell ref="F82:G82"/>
    <mergeCell ref="B82:E82"/>
    <mergeCell ref="I67:J67"/>
    <mergeCell ref="K71:L71"/>
    <mergeCell ref="L79:M79"/>
    <mergeCell ref="H82:J82"/>
    <mergeCell ref="K70:L70"/>
    <mergeCell ref="G73:H73"/>
    <mergeCell ref="I73:J73"/>
    <mergeCell ref="F84:G84"/>
    <mergeCell ref="G70:H70"/>
    <mergeCell ref="B78:G78"/>
    <mergeCell ref="I70:J70"/>
    <mergeCell ref="F83:G83"/>
    <mergeCell ref="B70:F70"/>
    <mergeCell ref="B79:E79"/>
    <mergeCell ref="H81:J81"/>
    <mergeCell ref="I72:J72"/>
    <mergeCell ref="F80:G80"/>
    <mergeCell ref="H80:J80"/>
    <mergeCell ref="I75:J75"/>
    <mergeCell ref="I71:J71"/>
    <mergeCell ref="B81:E81"/>
    <mergeCell ref="F79:G79"/>
    <mergeCell ref="H78:N78"/>
    <mergeCell ref="B65:N65"/>
    <mergeCell ref="B72:F72"/>
    <mergeCell ref="H79:J79"/>
    <mergeCell ref="B66:F66"/>
    <mergeCell ref="G71:H71"/>
    <mergeCell ref="G67:H67"/>
    <mergeCell ref="B71:F71"/>
    <mergeCell ref="K72:L72"/>
    <mergeCell ref="B67:F67"/>
    <mergeCell ref="G66:H66"/>
    <mergeCell ref="K75:L75"/>
    <mergeCell ref="G69:H69"/>
    <mergeCell ref="I66:J66"/>
    <mergeCell ref="G74:H74"/>
    <mergeCell ref="K67:L67"/>
    <mergeCell ref="I68:J68"/>
    <mergeCell ref="K74:L74"/>
    <mergeCell ref="B75:F75"/>
    <mergeCell ref="K68:L68"/>
    <mergeCell ref="L82:M82"/>
    <mergeCell ref="B83:E83"/>
    <mergeCell ref="B80:E80"/>
    <mergeCell ref="B69:F69"/>
    <mergeCell ref="B73:F73"/>
    <mergeCell ref="G68:H68"/>
    <mergeCell ref="F81:G81"/>
    <mergeCell ref="B74:F74"/>
    <mergeCell ref="B68:F68"/>
  </mergeCells>
  <pageMargins left="0.4" right="0.4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Dashboard</vt:lpstr>
      <vt:lpstr>Pedidos</vt:lpstr>
      <vt:lpstr>Despesas</vt:lpstr>
      <vt:lpstr>Lucro</vt:lpstr>
      <vt:lpstr>Estoque</vt:lpstr>
      <vt:lpstr>Pedidos_DB</vt:lpstr>
      <vt:lpstr>Despesas_DB</vt:lpstr>
      <vt:lpstr>Dados_Graficos</vt:lpstr>
      <vt:lpstr>Dashboard!Area_de_impressao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Giovanna Alves</cp:lastModifiedBy>
  <cp:revision>2</cp:revision>
  <dcterms:created xsi:type="dcterms:W3CDTF">2026-06-28T20:44:40Z</dcterms:created>
  <dcterms:modified xsi:type="dcterms:W3CDTF">2026-07-15T00:22:00Z</dcterms:modified>
  <dc:language>en-US</dc:language>
</cp:coreProperties>
</file>